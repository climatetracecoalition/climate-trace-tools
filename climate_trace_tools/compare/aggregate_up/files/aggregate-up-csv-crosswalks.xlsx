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unfccc-aggregate-up" sheetId="2" r:id="rId5"/>
    <sheet state="visible" name="edgar-aggregate-up" sheetId="3" r:id="rId6"/>
    <sheet state="visible" name="cait-aggregate-up" sheetId="4" r:id="rId7"/>
    <sheet state="visible" name="pik-tp-aggregate-up" sheetId="5" r:id="rId8"/>
    <sheet state="visible" name="faostat-aggregate-up" sheetId="6" r:id="rId9"/>
    <sheet state="visible" name="carbon-monitor-aggregate-up" sheetId="7" r:id="rId10"/>
    <sheet state="visible" name="gcp-aggregate-up" sheetId="8" r:id="rId11"/>
  </sheets>
  <definedNames/>
  <calcPr/>
  <extLst>
    <ext uri="GoogleSheetsCustomDataVersion2">
      <go:sheetsCustomData xmlns:go="http://customooxmlschemas.google.com/" r:id="rId12" roundtripDataChecksum="4WRfBA4/LYEYnfhhxkKTHxkl/MvKSXvGZIcJkEaxRpg="/>
    </ext>
  </extLst>
</workbook>
</file>

<file path=xl/sharedStrings.xml><?xml version="1.0" encoding="utf-8"?>
<sst xmlns="http://schemas.openxmlformats.org/spreadsheetml/2006/main" count="30" uniqueCount="24">
  <si>
    <r>
      <rPr>
        <rFont val="Arial"/>
        <b/>
        <color theme="1"/>
      </rPr>
      <t>aggregate-up</t>
    </r>
    <r>
      <rPr>
        <rFont val="Arial"/>
        <color theme="1"/>
      </rPr>
      <t xml:space="preserve"> tabs contain sector mappings intended to be used in the </t>
    </r>
    <r>
      <rPr>
        <rFont val="Arial"/>
        <b/>
        <color rgb="FF000000"/>
      </rPr>
      <t>a</t>
    </r>
    <r>
      <rPr>
        <rFont val="Arial"/>
        <b/>
        <color theme="1"/>
      </rPr>
      <t>ggregate-up tools</t>
    </r>
    <r>
      <rPr>
        <rFont val="Arial"/>
        <color theme="1"/>
      </rPr>
      <t xml:space="preserve">. Code for automatically turning those sheets into a dictionary object for use in that repo can be found </t>
    </r>
    <r>
      <rPr>
        <rFont val="Arial"/>
        <color rgb="FF000000"/>
      </rPr>
      <t>here</t>
    </r>
    <r>
      <rPr>
        <rFont val="Arial"/>
        <color theme="1"/>
      </rPr>
      <t>. These comparisons may be used to generate country or global totals with sector (Energy Industries and Fugitive Emissions, Manufacturing and Industrial Processes, Buildings, Transport, Agriculture, Waste, Forestry and Land Use Change) and subsector breakdowns.</t>
    </r>
  </si>
  <si>
    <t>Tab</t>
  </si>
  <si>
    <t>What it is</t>
  </si>
  <si>
    <t>Latest year available</t>
  </si>
  <si>
    <t>Notes</t>
  </si>
  <si>
    <t>External Link</t>
  </si>
  <si>
    <t>unfccc-aggregate-up</t>
  </si>
  <si>
    <t>Additive sectors and subsectors for generating global and country totals to be compared with equivalent (or near equivalent) climate trace sectors</t>
  </si>
  <si>
    <t>2021 for Annex 1 countries; varies for non-annex 1 countries</t>
  </si>
  <si>
    <t>edgar-aggregate-up</t>
  </si>
  <si>
    <t>cait-aggregate-up</t>
  </si>
  <si>
    <t>https://www.climatewatchdata.org/ghg-emissions;
https://wri-sites.s3.us-east-1.amazonaws.com/climatewatch.org/www.climatewatch.org/climate-watch/wri_metadata/CW_GHG_Method_Note.pdf</t>
  </si>
  <si>
    <t>pik-tp-aggregate-up</t>
  </si>
  <si>
    <t>- Manufacturing is not a perfect 1:1 comparison -- they report fuel combustion under 1.A and we report those emissions under 2
- Energy Industries, Fugitive Emissions, Buildings, and Transport are all aggregated together</t>
  </si>
  <si>
    <t>https://zenodo.org/record/7727475#.ZRSIN-zMI-Q; https://www.pik-potsdam.de/paris-reality-check/primap-hist/PRIMAP-hist_v2.3.1_data-description.pdf</t>
  </si>
  <si>
    <t>faostat-aggregate-up</t>
  </si>
  <si>
    <t>We are comparing their agriculture and forestry subsectors only. Note that manure left on pasture and manure applied to soils are divided between Manure Management (CH4) and Other Agricultural Soils (N2O)</t>
  </si>
  <si>
    <t>https://www.fao.org/faostat/en/#data/GT</t>
  </si>
  <si>
    <t>gcp-aggregate-up</t>
  </si>
  <si>
    <t>Note: Compare CO2 (fuel combustion only, do not add in fugitive methane! Comparison is not a perfect 1:1</t>
  </si>
  <si>
    <t>https://www.icos-cp.eu/science-and-impact/global-carbon-budget/2022</t>
  </si>
  <si>
    <t>carbon-monitor-aggregate-up</t>
  </si>
  <si>
    <t>Note: Carbon Monitor publishes CO2 only and no agriculture, land use, waste, etc</t>
  </si>
  <si>
    <t>https://carbonmonitor.org/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</si>
</sst>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u/>
      <color rgb="FF1155CC"/>
      <name val="Arial"/>
    </font>
    <font>
      <sz val="9.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shrinkToFit="0" vertical="bottom" wrapText="1"/>
    </xf>
    <xf borderId="0" fillId="0" fontId="3" numFmtId="0" xfId="0" applyAlignment="1" applyFont="1">
      <alignment shrinkToFit="0" vertical="bottom" wrapText="1"/>
    </xf>
    <xf borderId="0" fillId="2" fontId="4" numFmtId="0" xfId="0" applyFill="1"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ri-sites.s3.us-east-1.amazonaws.com/climatewatch.org/www.climatewatch.org/climate-watch/wri_metadata/CW_GHG_Method_Note.pdf" TargetMode="External"/><Relationship Id="rId2" Type="http://schemas.openxmlformats.org/officeDocument/2006/relationships/hyperlink" Target="https://www.fao.org/faostat/en/" TargetMode="External"/><Relationship Id="rId3" Type="http://schemas.openxmlformats.org/officeDocument/2006/relationships/hyperlink" Target="https://www.icos-cp.eu/science-and-impact/global-carbon-budget/2022" TargetMode="External"/><Relationship Id="rId4" Type="http://schemas.openxmlformats.org/officeDocument/2006/relationships/hyperlink" Target="https://carbonmonitor.or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31.63"/>
    <col customWidth="1" min="6" max="6" width="12.63"/>
  </cols>
  <sheetData>
    <row r="1" ht="15.75" customHeight="1">
      <c r="A1" s="1" t="s">
        <v>0</v>
      </c>
    </row>
    <row r="2" ht="15.75" customHeight="1">
      <c r="A2" s="2"/>
      <c r="B2" s="2"/>
      <c r="C2" s="2"/>
      <c r="D2" s="2"/>
      <c r="E2" s="2"/>
    </row>
    <row r="3" ht="15.75" customHeight="1">
      <c r="A3" s="3" t="s">
        <v>1</v>
      </c>
      <c r="B3" s="3" t="s">
        <v>2</v>
      </c>
      <c r="C3" s="3" t="s">
        <v>3</v>
      </c>
      <c r="D3" s="3" t="s">
        <v>4</v>
      </c>
      <c r="E3" s="3" t="s">
        <v>5</v>
      </c>
    </row>
    <row r="4" ht="15.75" customHeight="1">
      <c r="A4" s="1" t="s">
        <v>6</v>
      </c>
      <c r="B4" s="1" t="s">
        <v>7</v>
      </c>
      <c r="C4" s="1" t="s">
        <v>8</v>
      </c>
      <c r="D4" s="2"/>
      <c r="E4" s="2"/>
    </row>
    <row r="5" ht="15.75" customHeight="1">
      <c r="A5" s="1" t="s">
        <v>9</v>
      </c>
      <c r="B5" s="1" t="s">
        <v>7</v>
      </c>
      <c r="C5" s="4">
        <v>2021.0</v>
      </c>
      <c r="D5" s="2"/>
      <c r="E5" s="2"/>
    </row>
    <row r="6" ht="15.75" customHeight="1">
      <c r="A6" s="1" t="s">
        <v>10</v>
      </c>
      <c r="B6" s="1" t="s">
        <v>7</v>
      </c>
      <c r="C6" s="4">
        <v>2020.0</v>
      </c>
      <c r="D6" s="2"/>
      <c r="E6" s="5" t="s">
        <v>11</v>
      </c>
    </row>
    <row r="7" ht="15.75" customHeight="1">
      <c r="A7" s="1" t="s">
        <v>12</v>
      </c>
      <c r="B7" s="1" t="s">
        <v>7</v>
      </c>
      <c r="C7" s="4">
        <v>2021.0</v>
      </c>
      <c r="D7" s="1" t="s">
        <v>13</v>
      </c>
      <c r="E7" s="1" t="s">
        <v>14</v>
      </c>
    </row>
    <row r="8" ht="15.75" customHeight="1">
      <c r="A8" s="1" t="s">
        <v>15</v>
      </c>
      <c r="B8" s="1" t="s">
        <v>7</v>
      </c>
      <c r="C8" s="4">
        <v>2020.0</v>
      </c>
      <c r="D8" s="1" t="s">
        <v>16</v>
      </c>
      <c r="E8" s="5" t="s">
        <v>17</v>
      </c>
    </row>
    <row r="9" ht="15.75" customHeight="1">
      <c r="A9" s="1" t="s">
        <v>18</v>
      </c>
      <c r="B9" s="1" t="s">
        <v>7</v>
      </c>
      <c r="C9" s="4">
        <v>2022.0</v>
      </c>
      <c r="D9" s="1" t="s">
        <v>19</v>
      </c>
      <c r="E9" s="5" t="s">
        <v>20</v>
      </c>
    </row>
    <row r="10" ht="15.75" customHeight="1">
      <c r="A10" s="1" t="s">
        <v>21</v>
      </c>
      <c r="B10" s="1" t="s">
        <v>7</v>
      </c>
      <c r="C10" s="4">
        <v>2022.0</v>
      </c>
      <c r="D10" s="1" t="s">
        <v>22</v>
      </c>
      <c r="E10" s="5" t="s">
        <v>23</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hyperlinks>
    <hyperlink r:id="rId1" ref="E6"/>
    <hyperlink r:id="rId2" location="data/GT" ref="E8"/>
    <hyperlink r:id="rId3" ref="E9"/>
    <hyperlink r:id="rId4" ref="E1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6" t="str">
        <f>IFERROR(__xludf.DUMMYFUNCTION("IMPORTRANGE(""https://docs.google.com/spreadsheets/d/1VvOGcBodrKNXu3BjZqF9bmJ342Ts6Alxj2RYSMAL658/edit#gid=0"", ""unfccc-analysis-util!A1:J200"")"),"Comparison Sector")</f>
        <v>Comparison Sector</v>
      </c>
      <c r="B1" s="7" t="str">
        <f>IFERROR(__xludf.DUMMYFUNCTION("""COMPUTED_VALUE"""),"Comparison Subsector")</f>
        <v>Comparison Subsector</v>
      </c>
      <c r="C1" s="7" t="str">
        <f>IFERROR(__xludf.DUMMYFUNCTION("""COMPUTED_VALUE"""),"Climate TRACE Sectors")</f>
        <v>Climate TRACE Sectors</v>
      </c>
      <c r="D1" s="7" t="str">
        <f>IFERROR(__xludf.DUMMYFUNCTION("""COMPUTED_VALUE"""),"UNFCCC Sectors (annex 1)")</f>
        <v>UNFCCC Sectors (annex 1)</v>
      </c>
      <c r="E1" s="7" t="str">
        <f>IFERROR(__xludf.DUMMYFUNCTION("""COMPUTED_VALUE"""),"UNFCCC Sectors (non annex 1)")</f>
        <v>UNFCCC Sectors (non annex 1)</v>
      </c>
      <c r="F1" s="7"/>
      <c r="G1" s="7"/>
      <c r="H1" s="7"/>
      <c r="I1" s="7"/>
      <c r="J1" s="7"/>
    </row>
    <row r="2" ht="15.75" customHeight="1">
      <c r="A2" s="7" t="str">
        <f>IFERROR(__xludf.DUMMYFUNCTION("""COMPUTED_VALUE"""),"Energy Industries and Fugitive Emissions")</f>
        <v>Energy Industries and Fugitive Emissions</v>
      </c>
      <c r="B2" s="7" t="str">
        <f>IFERROR(__xludf.DUMMYFUNCTION("""COMPUTED_VALUE"""),"Energy Industries and Fugitive Emissions")</f>
        <v>Energy Industries and Fugitive Emissions</v>
      </c>
      <c r="C2" s="7" t="str">
        <f>IFERROR(__xludf.DUMMYFUNCTION("""COMPUTED_VALUE"""),"electricity-generation, heat-plants, other-energy-use, coal-mining, solid-fuel-transformation, oil-and-gas-production-and-transport, oil-and-gas-refining, other-fossil-fuel-operations")</f>
        <v>electricity-generation, heat-plants, other-energy-use, coal-mining, solid-fuel-transformation, oil-and-gas-production-and-transport, oil-and-gas-refining, other-fossil-fuel-operations</v>
      </c>
      <c r="D2" s="7"/>
      <c r="E2" s="7" t="str">
        <f>IFERROR(__xludf.DUMMYFUNCTION("""COMPUTED_VALUE"""),"1.A.1  Energy Industries, 1.B  Fugitive Emissions from Fuels")</f>
        <v>1.A.1  Energy Industries, 1.B  Fugitive Emissions from Fuels</v>
      </c>
      <c r="F2" s="7"/>
      <c r="G2" s="7"/>
      <c r="H2" s="7"/>
      <c r="I2" s="7"/>
      <c r="J2" s="7"/>
    </row>
    <row r="3" ht="15.75" customHeight="1">
      <c r="A3" s="7" t="str">
        <f>IFERROR(__xludf.DUMMYFUNCTION("""COMPUTED_VALUE"""),"Energy Industries and Fugitive Emissions")</f>
        <v>Energy Industries and Fugitive Emissions</v>
      </c>
      <c r="B3" s="7" t="str">
        <f>IFERROR(__xludf.DUMMYFUNCTION("""COMPUTED_VALUE"""),"Electricity Generation")</f>
        <v>Electricity Generation</v>
      </c>
      <c r="C3" s="7" t="str">
        <f>IFERROR(__xludf.DUMMYFUNCTION("""COMPUTED_VALUE"""),"electricity-generation")</f>
        <v>electricity-generation</v>
      </c>
      <c r="D3" s="7" t="str">
        <f>IFERROR(__xludf.DUMMYFUNCTION("""COMPUTED_VALUE"""),"1.A.1.a.i  Electricity Generation, 1.A.1.a.ii  Combined Heat and Power Generation")</f>
        <v>1.A.1.a.i  Electricity Generation, 1.A.1.a.ii  Combined Heat and Power Generation</v>
      </c>
      <c r="E3" s="7"/>
      <c r="F3" s="7"/>
      <c r="G3" s="7"/>
      <c r="H3" s="7"/>
      <c r="I3" s="7"/>
      <c r="J3" s="7"/>
    </row>
    <row r="4" ht="15.75" customHeight="1">
      <c r="A4" s="7" t="str">
        <f>IFERROR(__xludf.DUMMYFUNCTION("""COMPUTED_VALUE"""),"Energy Industries and Fugitive Emissions")</f>
        <v>Energy Industries and Fugitive Emissions</v>
      </c>
      <c r="B4" s="7" t="str">
        <f>IFERROR(__xludf.DUMMYFUNCTION("""COMPUTED_VALUE"""),"Heat Plants")</f>
        <v>Heat Plants</v>
      </c>
      <c r="C4" s="7" t="str">
        <f>IFERROR(__xludf.DUMMYFUNCTION("""COMPUTED_VALUE"""),"heat-plants")</f>
        <v>heat-plants</v>
      </c>
      <c r="D4" s="7" t="str">
        <f>IFERROR(__xludf.DUMMYFUNCTION("""COMPUTED_VALUE"""),"1.A.1.a.iii  Heat Plants")</f>
        <v>1.A.1.a.iii  Heat Plants</v>
      </c>
      <c r="E4" s="7"/>
      <c r="F4" s="7"/>
      <c r="G4" s="7"/>
      <c r="H4" s="7"/>
      <c r="I4" s="7"/>
      <c r="J4" s="7"/>
    </row>
    <row r="5" ht="15.75" customHeight="1">
      <c r="A5" s="7" t="str">
        <f>IFERROR(__xludf.DUMMYFUNCTION("""COMPUTED_VALUE"""),"Energy Industries and Fugitive Emissions")</f>
        <v>Energy Industries and Fugitive Emissions</v>
      </c>
      <c r="B5" s="7" t="str">
        <f>IFERROR(__xludf.DUMMYFUNCTION("""COMPUTED_VALUE"""),"Other Energy Use")</f>
        <v>Other Energy Use</v>
      </c>
      <c r="C5" s="7" t="str">
        <f>IFERROR(__xludf.DUMMYFUNCTION("""COMPUTED_VALUE"""),"other-energy-use")</f>
        <v>other-energy-use</v>
      </c>
      <c r="D5" s="7" t="str">
        <f>IFERROR(__xludf.DUMMYFUNCTION("""COMPUTED_VALUE"""),"
1.A.1.a.iv  Other, 1.A.1.c.iii  Other Energy Industries, 1.A.1.c.iv  Other, 1.A.5  Other")</f>
        <v>
1.A.1.a.iv  Other, 1.A.1.c.iii  Other Energy Industries, 1.A.1.c.iv  Other, 1.A.5  Other</v>
      </c>
      <c r="E5" s="7"/>
      <c r="F5" s="7"/>
      <c r="G5" s="7"/>
      <c r="H5" s="7"/>
      <c r="I5" s="7"/>
      <c r="J5" s="7"/>
    </row>
    <row r="6" ht="15.75" customHeight="1">
      <c r="A6" s="7" t="str">
        <f>IFERROR(__xludf.DUMMYFUNCTION("""COMPUTED_VALUE"""),"Energy Industries and Fugitive Emissions")</f>
        <v>Energy Industries and Fugitive Emissions</v>
      </c>
      <c r="B6" s="7" t="str">
        <f>IFERROR(__xludf.DUMMYFUNCTION("""COMPUTED_VALUE"""),"Coal Mining")</f>
        <v>Coal Mining</v>
      </c>
      <c r="C6" s="7" t="str">
        <f>IFERROR(__xludf.DUMMYFUNCTION("""COMPUTED_VALUE"""),"coal-mining")</f>
        <v>coal-mining</v>
      </c>
      <c r="D6" s="7" t="str">
        <f>IFERROR(__xludf.DUMMYFUNCTION("""COMPUTED_VALUE"""),"1.B.1.a  Coal Mining and Handling")</f>
        <v>1.B.1.a  Coal Mining and Handling</v>
      </c>
      <c r="E6" s="7"/>
      <c r="F6" s="7"/>
      <c r="G6" s="7"/>
      <c r="H6" s="7"/>
      <c r="I6" s="7"/>
      <c r="J6" s="7"/>
    </row>
    <row r="7" ht="15.75" customHeight="1">
      <c r="A7" s="7" t="str">
        <f>IFERROR(__xludf.DUMMYFUNCTION("""COMPUTED_VALUE"""),"Energy Industries and Fugitive Emissions")</f>
        <v>Energy Industries and Fugitive Emissions</v>
      </c>
      <c r="B7" s="7" t="str">
        <f>IFERROR(__xludf.DUMMYFUNCTION("""COMPUTED_VALUE"""),"Other Solid Fuels")</f>
        <v>Other Solid Fuels</v>
      </c>
      <c r="C7" s="7" t="str">
        <f>IFERROR(__xludf.DUMMYFUNCTION("""COMPUTED_VALUE"""),"other-solid-fuels")</f>
        <v>other-solid-fuels</v>
      </c>
      <c r="D7" s="7" t="str">
        <f>IFERROR(__xludf.DUMMYFUNCTION("""COMPUTED_VALUE"""),"1.B.1.b  Solid Fuel Transformation, 1.B.1.c  Other")</f>
        <v>1.B.1.b  Solid Fuel Transformation, 1.B.1.c  Other</v>
      </c>
      <c r="E7" s="7"/>
      <c r="F7" s="7"/>
      <c r="G7" s="7"/>
      <c r="H7" s="7"/>
      <c r="I7" s="7"/>
      <c r="J7" s="7"/>
    </row>
    <row r="8" ht="15.75" customHeight="1">
      <c r="A8" s="7" t="str">
        <f>IFERROR(__xludf.DUMMYFUNCTION("""COMPUTED_VALUE"""),"Energy Industries and Fugitive Emissions")</f>
        <v>Energy Industries and Fugitive Emissions</v>
      </c>
      <c r="B8" s="7" t="str">
        <f>IFERROR(__xludf.DUMMYFUNCTION("""COMPUTED_VALUE"""),"Oil and Gas Production")</f>
        <v>Oil and Gas Production</v>
      </c>
      <c r="C8" s="7" t="str">
        <f>IFERROR(__xludf.DUMMYFUNCTION("""COMPUTED_VALUE"""),"oil-and-gas-production")</f>
        <v>oil-and-gas-production</v>
      </c>
      <c r="D8" s="7" t="str">
        <f>IFERROR(__xludf.DUMMYFUNCTION("""COMPUTED_VALUE"""),"1.B.2.a.i  Exploration, 1.B.2.a.ii  Production, 1.B.2.c  Venting and Flaring, 1.B.2.b.i  Exploration, 1.B.2.b.ii  Production, 1.B.2.b.iii  Processing, 1.A.1.c.ii  Oil and Gas Extraction")</f>
        <v>1.B.2.a.i  Exploration, 1.B.2.a.ii  Production, 1.B.2.c  Venting and Flaring, 1.B.2.b.i  Exploration, 1.B.2.b.ii  Production, 1.B.2.b.iii  Processing, 1.A.1.c.ii  Oil and Gas Extraction</v>
      </c>
      <c r="E8" s="7"/>
      <c r="F8" s="7"/>
      <c r="G8" s="7"/>
      <c r="H8" s="7"/>
      <c r="I8" s="7"/>
      <c r="J8" s="7"/>
    </row>
    <row r="9" ht="15.75" customHeight="1">
      <c r="A9" s="7" t="str">
        <f>IFERROR(__xludf.DUMMYFUNCTION("""COMPUTED_VALUE"""),"Energy Industries and Fugitive Emissions")</f>
        <v>Energy Industries and Fugitive Emissions</v>
      </c>
      <c r="B9" s="7" t="str">
        <f>IFERROR(__xludf.DUMMYFUNCTION("""COMPUTED_VALUE"""),"Oil and Gas Transport")</f>
        <v>Oil and Gas Transport</v>
      </c>
      <c r="C9" s="7" t="str">
        <f>IFERROR(__xludf.DUMMYFUNCTION("""COMPUTED_VALUE"""),"oil-and-gas-transport")</f>
        <v>oil-and-gas-transport</v>
      </c>
      <c r="D9" s="7" t="str">
        <f>IFERROR(__xludf.DUMMYFUNCTION("""COMPUTED_VALUE"""),"1.B.2.a.iii  Transport, 1.B.2.b.iv  Transmission and Storage")</f>
        <v>1.B.2.a.iii  Transport, 1.B.2.b.iv  Transmission and Storage</v>
      </c>
      <c r="E9" s="7"/>
      <c r="F9" s="7"/>
      <c r="G9" s="7"/>
      <c r="H9" s="7"/>
      <c r="I9" s="7"/>
      <c r="J9" s="7"/>
    </row>
    <row r="10" ht="15.75" customHeight="1">
      <c r="A10" s="7" t="str">
        <f>IFERROR(__xludf.DUMMYFUNCTION("""COMPUTED_VALUE"""),"Energy Industries and Fugitive Emissions")</f>
        <v>Energy Industries and Fugitive Emissions</v>
      </c>
      <c r="B10" s="7" t="str">
        <f>IFERROR(__xludf.DUMMYFUNCTION("""COMPUTED_VALUE"""),"Oil and Gas Refining")</f>
        <v>Oil and Gas Refining</v>
      </c>
      <c r="C10" s="7" t="str">
        <f>IFERROR(__xludf.DUMMYFUNCTION("""COMPUTED_VALUE"""),"oil-and-gas-refining")</f>
        <v>oil-and-gas-refining</v>
      </c>
      <c r="D10" s="7" t="str">
        <f>IFERROR(__xludf.DUMMYFUNCTION("""COMPUTED_VALUE"""),"1.A.1.b  Petroleum Refining, 1.B.2.a.iv  Refining / Storage")</f>
        <v>1.A.1.b  Petroleum Refining, 1.B.2.a.iv  Refining / Storage</v>
      </c>
      <c r="E10" s="7"/>
      <c r="F10" s="7"/>
      <c r="G10" s="7"/>
      <c r="H10" s="7"/>
      <c r="I10" s="7"/>
      <c r="J10" s="7"/>
    </row>
    <row r="11" ht="15.75" customHeight="1">
      <c r="A11" s="7" t="str">
        <f>IFERROR(__xludf.DUMMYFUNCTION("""COMPUTED_VALUE"""),"Energy Industries and Fugitive Emissions")</f>
        <v>Energy Industries and Fugitive Emissions</v>
      </c>
      <c r="B11" s="7" t="str">
        <f>IFERROR(__xludf.DUMMYFUNCTION("""COMPUTED_VALUE"""),"Other Fossil Fuel Operations")</f>
        <v>Other Fossil Fuel Operations</v>
      </c>
      <c r="C11" s="7" t="str">
        <f>IFERROR(__xludf.DUMMYFUNCTION("""COMPUTED_VALUE"""),"other-fossil-fuel-operations")</f>
        <v>other-fossil-fuel-operations</v>
      </c>
      <c r="D11" s="7" t="str">
        <f>IFERROR(__xludf.DUMMYFUNCTION("""COMPUTED_VALUE"""),"1.B.2.b.vi  Other, 1.B.2.a.vi  Other, 1.B.2.d  Other, 1.B.2.a.v  Distribution of Oil Products, 1.B.2.b.v  Distribution, 1.A.1.c.i  Manufacture of Solid Fuels, 1.A.1.c.iii  Other Energy Industries, 1.A.1.c.iv  Other")</f>
        <v>1.B.2.b.vi  Other, 1.B.2.a.vi  Other, 1.B.2.d  Other, 1.B.2.a.v  Distribution of Oil Products, 1.B.2.b.v  Distribution, 1.A.1.c.i  Manufacture of Solid Fuels, 1.A.1.c.iii  Other Energy Industries, 1.A.1.c.iv  Other</v>
      </c>
      <c r="E11" s="7"/>
      <c r="F11" s="7"/>
      <c r="G11" s="7"/>
      <c r="H11" s="7"/>
      <c r="I11" s="7"/>
      <c r="J11" s="7"/>
    </row>
    <row r="12" ht="15.75" customHeight="1">
      <c r="A12" s="7" t="str">
        <f>IFERROR(__xludf.DUMMYFUNCTION("""COMPUTED_VALUE"""),"Transport")</f>
        <v>Transport</v>
      </c>
      <c r="B12" s="7" t="str">
        <f>IFERROR(__xludf.DUMMYFUNCTION("""COMPUTED_VALUE"""),"Transport")</f>
        <v>Transport</v>
      </c>
      <c r="C12" s="7" t="str">
        <f>IFERROR(__xludf.DUMMYFUNCTION("""COMPUTED_VALUE"""),"domestic-aviation, international-aviation, road-transportation, international-shipping, domestic-shipping, railways, other-transport")</f>
        <v>domestic-aviation, international-aviation, road-transportation, international-shipping, domestic-shipping, railways, other-transport</v>
      </c>
      <c r="D12" s="7"/>
      <c r="E12" s="7" t="str">
        <f>IFERROR(__xludf.DUMMYFUNCTION("""COMPUTED_VALUE"""),"1.A.3  Transport, International Bunkers, Marine, Aviation")</f>
        <v>1.A.3  Transport, International Bunkers, Marine, Aviation</v>
      </c>
      <c r="F12" s="7"/>
      <c r="G12" s="7"/>
      <c r="H12" s="7"/>
      <c r="I12" s="7"/>
      <c r="J12" s="7"/>
    </row>
    <row r="13" ht="15.75" customHeight="1">
      <c r="A13" s="7" t="str">
        <f>IFERROR(__xludf.DUMMYFUNCTION("""COMPUTED_VALUE"""),"Transport")</f>
        <v>Transport</v>
      </c>
      <c r="B13" s="7" t="str">
        <f>IFERROR(__xludf.DUMMYFUNCTION("""COMPUTED_VALUE"""),"Domestic Aviation")</f>
        <v>Domestic Aviation</v>
      </c>
      <c r="C13" s="7" t="str">
        <f>IFERROR(__xludf.DUMMYFUNCTION("""COMPUTED_VALUE"""),"domestic-aviation")</f>
        <v>domestic-aviation</v>
      </c>
      <c r="D13" s="7" t="str">
        <f>IFERROR(__xludf.DUMMYFUNCTION("""COMPUTED_VALUE"""),"1.A.3.a  Domestic Aviation")</f>
        <v>1.A.3.a  Domestic Aviation</v>
      </c>
      <c r="E13" s="7"/>
      <c r="F13" s="7"/>
      <c r="G13" s="7"/>
      <c r="H13" s="7"/>
      <c r="I13" s="7"/>
      <c r="J13" s="7"/>
    </row>
    <row r="14" ht="15.75" customHeight="1">
      <c r="A14" s="7" t="str">
        <f>IFERROR(__xludf.DUMMYFUNCTION("""COMPUTED_VALUE"""),"Transport")</f>
        <v>Transport</v>
      </c>
      <c r="B14" s="7" t="str">
        <f>IFERROR(__xludf.DUMMYFUNCTION("""COMPUTED_VALUE"""),"International Aviation")</f>
        <v>International Aviation</v>
      </c>
      <c r="C14" s="7" t="str">
        <f>IFERROR(__xludf.DUMMYFUNCTION("""COMPUTED_VALUE"""),"international-aviation")</f>
        <v>international-aviation</v>
      </c>
      <c r="D14" s="7" t="str">
        <f>IFERROR(__xludf.DUMMYFUNCTION("""COMPUTED_VALUE"""),"International Aviation")</f>
        <v>International Aviation</v>
      </c>
      <c r="E14" s="7"/>
      <c r="F14" s="7"/>
      <c r="G14" s="7"/>
      <c r="H14" s="7"/>
      <c r="I14" s="7"/>
      <c r="J14" s="7"/>
    </row>
    <row r="15" ht="15.75" customHeight="1">
      <c r="A15" s="7" t="str">
        <f>IFERROR(__xludf.DUMMYFUNCTION("""COMPUTED_VALUE"""),"Transport")</f>
        <v>Transport</v>
      </c>
      <c r="B15" s="7" t="str">
        <f>IFERROR(__xludf.DUMMYFUNCTION("""COMPUTED_VALUE"""),"Road Transportation")</f>
        <v>Road Transportation</v>
      </c>
      <c r="C15" s="7" t="str">
        <f>IFERROR(__xludf.DUMMYFUNCTION("""COMPUTED_VALUE"""),"road-transportation")</f>
        <v>road-transportation</v>
      </c>
      <c r="D15" s="7" t="str">
        <f>IFERROR(__xludf.DUMMYFUNCTION("""COMPUTED_VALUE"""),"1.A.3.b  Road Transportation")</f>
        <v>1.A.3.b  Road Transportation</v>
      </c>
      <c r="E15" s="7"/>
      <c r="F15" s="7"/>
      <c r="G15" s="7"/>
      <c r="H15" s="7"/>
      <c r="I15" s="7"/>
      <c r="J15" s="7"/>
    </row>
    <row r="16" ht="15.75" customHeight="1">
      <c r="A16" s="7" t="str">
        <f>IFERROR(__xludf.DUMMYFUNCTION("""COMPUTED_VALUE"""),"Transport")</f>
        <v>Transport</v>
      </c>
      <c r="B16" s="7" t="str">
        <f>IFERROR(__xludf.DUMMYFUNCTION("""COMPUTED_VALUE"""),"International Shipping")</f>
        <v>International Shipping</v>
      </c>
      <c r="C16" s="7" t="str">
        <f>IFERROR(__xludf.DUMMYFUNCTION("""COMPUTED_VALUE"""),"international-shipping")</f>
        <v>international-shipping</v>
      </c>
      <c r="D16" s="7" t="str">
        <f>IFERROR(__xludf.DUMMYFUNCTION("""COMPUTED_VALUE"""),"International Navigation")</f>
        <v>International Navigation</v>
      </c>
      <c r="E16" s="7"/>
      <c r="F16" s="7"/>
      <c r="G16" s="7"/>
      <c r="H16" s="7"/>
      <c r="I16" s="7"/>
      <c r="J16" s="7"/>
    </row>
    <row r="17" ht="15.75" customHeight="1">
      <c r="A17" s="7" t="str">
        <f>IFERROR(__xludf.DUMMYFUNCTION("""COMPUTED_VALUE"""),"Transport")</f>
        <v>Transport</v>
      </c>
      <c r="B17" s="7" t="str">
        <f>IFERROR(__xludf.DUMMYFUNCTION("""COMPUTED_VALUE"""),"Domestic Shipping")</f>
        <v>Domestic Shipping</v>
      </c>
      <c r="C17" s="7" t="str">
        <f>IFERROR(__xludf.DUMMYFUNCTION("""COMPUTED_VALUE"""),"domestic-shipping")</f>
        <v>domestic-shipping</v>
      </c>
      <c r="D17" s="7" t="str">
        <f>IFERROR(__xludf.DUMMYFUNCTION("""COMPUTED_VALUE"""),"1.A.3.d  Domestic Navigation")</f>
        <v>1.A.3.d  Domestic Navigation</v>
      </c>
      <c r="E17" s="7"/>
      <c r="F17" s="7"/>
      <c r="G17" s="7"/>
      <c r="H17" s="7"/>
      <c r="I17" s="7"/>
      <c r="J17" s="7"/>
    </row>
    <row r="18" ht="15.75" customHeight="1">
      <c r="A18" s="7" t="str">
        <f>IFERROR(__xludf.DUMMYFUNCTION("""COMPUTED_VALUE"""),"Transport")</f>
        <v>Transport</v>
      </c>
      <c r="B18" s="7" t="str">
        <f>IFERROR(__xludf.DUMMYFUNCTION("""COMPUTED_VALUE"""),"Railways")</f>
        <v>Railways</v>
      </c>
      <c r="C18" s="7" t="str">
        <f>IFERROR(__xludf.DUMMYFUNCTION("""COMPUTED_VALUE"""),"railways")</f>
        <v>railways</v>
      </c>
      <c r="D18" s="7" t="str">
        <f>IFERROR(__xludf.DUMMYFUNCTION("""COMPUTED_VALUE"""),"1.A.3.c. Railways")</f>
        <v>1.A.3.c. Railways</v>
      </c>
      <c r="E18" s="7"/>
      <c r="F18" s="7"/>
      <c r="G18" s="7"/>
      <c r="H18" s="7"/>
      <c r="I18" s="7"/>
      <c r="J18" s="7"/>
    </row>
    <row r="19" ht="15.75" customHeight="1">
      <c r="A19" s="7" t="str">
        <f>IFERROR(__xludf.DUMMYFUNCTION("""COMPUTED_VALUE"""),"Transport")</f>
        <v>Transport</v>
      </c>
      <c r="B19" s="7" t="str">
        <f>IFERROR(__xludf.DUMMYFUNCTION("""COMPUTED_VALUE"""),"Other Transport")</f>
        <v>Other Transport</v>
      </c>
      <c r="C19" s="7" t="str">
        <f>IFERROR(__xludf.DUMMYFUNCTION("""COMPUTED_VALUE"""),"other-transport")</f>
        <v>other-transport</v>
      </c>
      <c r="D19" s="7" t="str">
        <f>IFERROR(__xludf.DUMMYFUNCTION("""COMPUTED_VALUE"""),"1.A.3.e  Other Transportation")</f>
        <v>1.A.3.e  Other Transportation</v>
      </c>
      <c r="E19" s="7"/>
      <c r="F19" s="7"/>
      <c r="G19" s="7"/>
      <c r="H19" s="7"/>
      <c r="I19" s="7"/>
      <c r="J19" s="7"/>
    </row>
    <row r="20" ht="15.75" customHeight="1">
      <c r="A20" s="7" t="str">
        <f>IFERROR(__xludf.DUMMYFUNCTION("""COMPUTED_VALUE"""),"Buildings")</f>
        <v>Buildings</v>
      </c>
      <c r="B20" s="7" t="str">
        <f>IFERROR(__xludf.DUMMYFUNCTION("""COMPUTED_VALUE"""),"Buildings")</f>
        <v>Buildings</v>
      </c>
      <c r="C20" s="7" t="str">
        <f>IFERROR(__xludf.DUMMYFUNCTION("""COMPUTED_VALUE"""),"residential-onsite-fuel-usage, non-residential-onsite-fuel-usage, other-onsite-fuel-usage")</f>
        <v>residential-onsite-fuel-usage, non-residential-onsite-fuel-usage, other-onsite-fuel-usage</v>
      </c>
      <c r="D20" s="7"/>
      <c r="E20" s="7" t="str">
        <f>IFERROR(__xludf.DUMMYFUNCTION("""COMPUTED_VALUE"""),"1.A.4  Other Sectors, 1.A.5  Other (Not elsewhere specified)")</f>
        <v>1.A.4  Other Sectors, 1.A.5  Other (Not elsewhere specified)</v>
      </c>
      <c r="F20" s="7"/>
      <c r="G20" s="7"/>
      <c r="H20" s="7"/>
      <c r="I20" s="7"/>
      <c r="J20" s="7"/>
    </row>
    <row r="21" ht="15.75" customHeight="1">
      <c r="A21" s="7" t="str">
        <f>IFERROR(__xludf.DUMMYFUNCTION("""COMPUTED_VALUE"""),"Buildings")</f>
        <v>Buildings</v>
      </c>
      <c r="B21" s="7" t="str">
        <f>IFERROR(__xludf.DUMMYFUNCTION("""COMPUTED_VALUE"""),"Residential Onsite Fuel Usage")</f>
        <v>Residential Onsite Fuel Usage</v>
      </c>
      <c r="C21" s="7" t="str">
        <f>IFERROR(__xludf.DUMMYFUNCTION("""COMPUTED_VALUE"""),"residential-onsite-fuel-usage")</f>
        <v>residential-onsite-fuel-usage</v>
      </c>
      <c r="D21" s="7" t="str">
        <f>IFERROR(__xludf.DUMMYFUNCTION("""COMPUTED_VALUE"""),"1.A.4  Other Sectors ")</f>
        <v>1.A.4  Other Sectors </v>
      </c>
      <c r="E21" s="7"/>
      <c r="F21" s="7"/>
      <c r="G21" s="7"/>
      <c r="H21" s="7"/>
      <c r="I21" s="7"/>
      <c r="J21" s="7"/>
    </row>
    <row r="22" ht="15.75" customHeight="1">
      <c r="A22" s="7" t="str">
        <f>IFERROR(__xludf.DUMMYFUNCTION("""COMPUTED_VALUE"""),"Buildings")</f>
        <v>Buildings</v>
      </c>
      <c r="B22" s="7" t="str">
        <f>IFERROR(__xludf.DUMMYFUNCTION("""COMPUTED_VALUE"""),"Non Residential Onsite Fuel Usage")</f>
        <v>Non Residential Onsite Fuel Usage</v>
      </c>
      <c r="C22" s="7" t="str">
        <f>IFERROR(__xludf.DUMMYFUNCTION("""COMPUTED_VALUE"""),"non-residential-onsite-fuel-usage")</f>
        <v>non-residential-onsite-fuel-usage</v>
      </c>
      <c r="D22" s="7" t="str">
        <f>IFERROR(__xludf.DUMMYFUNCTION("""COMPUTED_VALUE"""),"1.A.4  Other Sectors ")</f>
        <v>1.A.4  Other Sectors </v>
      </c>
      <c r="E22" s="7"/>
      <c r="F22" s="7"/>
      <c r="G22" s="7"/>
      <c r="H22" s="7"/>
      <c r="I22" s="7"/>
      <c r="J22" s="7"/>
    </row>
    <row r="23" ht="15.75" customHeight="1">
      <c r="A23" s="7" t="str">
        <f>IFERROR(__xludf.DUMMYFUNCTION("""COMPUTED_VALUE"""),"Buildings")</f>
        <v>Buildings</v>
      </c>
      <c r="B23" s="7" t="str">
        <f>IFERROR(__xludf.DUMMYFUNCTION("""COMPUTED_VALUE"""),"Other Onsite Fuel Usage")</f>
        <v>Other Onsite Fuel Usage</v>
      </c>
      <c r="C23" s="7" t="str">
        <f>IFERROR(__xludf.DUMMYFUNCTION("""COMPUTED_VALUE"""),"other-onsite-fuel-usage")</f>
        <v>other-onsite-fuel-usage</v>
      </c>
      <c r="D23" s="7" t="str">
        <f>IFERROR(__xludf.DUMMYFUNCTION("""COMPUTED_VALUE"""),"1.A.5  Other (Not specified elsewhere)")</f>
        <v>1.A.5  Other (Not specified elsewhere)</v>
      </c>
      <c r="E23" s="7"/>
      <c r="F23" s="7"/>
      <c r="G23" s="7"/>
      <c r="H23" s="7"/>
      <c r="I23" s="7"/>
      <c r="J23" s="7"/>
    </row>
    <row r="24" ht="15.75" customHeight="1">
      <c r="A24" s="7" t="str">
        <f>IFERROR(__xludf.DUMMYFUNCTION("""COMPUTED_VALUE"""),"Manufacturing and Industrial Processes")</f>
        <v>Manufacturing and Industrial Processes</v>
      </c>
      <c r="B24" s="7" t="str">
        <f>IFERROR(__xludf.DUMMYFUNCTION("""COMPUTED_VALUE"""),"Manufacturing and Industrial Processes")</f>
        <v>Manufacturing and Industrial Processes</v>
      </c>
      <c r="C24" s="7" t="str">
        <f>IFERROR(__xludf.DUMMYFUNCTION("""COMPUTED_VALUE"""),"petrochemical-steam-cracking, cement, chemicals, steel, aluminum, pulp-and-paper, lime, glass, food-beverage-tobacco, wood-and-wood-products, textiles-leather-apparel, other-metals, other-chemicals other-manufacturing, bauxite-mining, iron-mining, copper-"&amp;"mining, sand-quarrying, rock-quarrying, other-mining-quarrying")</f>
        <v>petrochemical-steam-cracking, cement, chemicals, steel, aluminum, pulp-and-paper, lime, glass, food-beverage-tobacco, wood-and-wood-products, textiles-leather-apparel, other-metals, other-chemicals other-manufacturing, bauxite-mining, iron-mining, copper-mining, sand-quarrying, rock-quarrying, other-mining-quarrying</v>
      </c>
      <c r="D24" s="7"/>
      <c r="E24" s="7" t="str">
        <f>IFERROR(__xludf.DUMMYFUNCTION("""COMPUTED_VALUE"""),"1.A.2  Manufacturing Industries and Construction, 2.  Industrial Processes")</f>
        <v>1.A.2  Manufacturing Industries and Construction, 2.  Industrial Processes</v>
      </c>
      <c r="F24" s="7"/>
      <c r="G24" s="7"/>
      <c r="H24" s="7"/>
      <c r="I24" s="7"/>
      <c r="J24" s="7"/>
    </row>
    <row r="25" ht="15.75" customHeight="1">
      <c r="A25" s="7" t="str">
        <f>IFERROR(__xludf.DUMMYFUNCTION("""COMPUTED_VALUE"""),"Manufacturing and Industrial Processes")</f>
        <v>Manufacturing and Industrial Processes</v>
      </c>
      <c r="B25" s="7" t="str">
        <f>IFERROR(__xludf.DUMMYFUNCTION("""COMPUTED_VALUE"""),"Petrochemicals")</f>
        <v>Petrochemicals</v>
      </c>
      <c r="C25" s="7" t="str">
        <f>IFERROR(__xludf.DUMMYFUNCTION("""COMPUTED_VALUE"""),"petrochemical-steam-cracking")</f>
        <v>petrochemical-steam-cracking</v>
      </c>
      <c r="D25" s="7" t="str">
        <f>IFERROR(__xludf.DUMMYFUNCTION("""COMPUTED_VALUE"""),"2.B.8.b  Ethylene")</f>
        <v>2.B.8.b  Ethylene</v>
      </c>
      <c r="E25" s="7"/>
      <c r="F25" s="7"/>
      <c r="G25" s="7"/>
      <c r="H25" s="7"/>
      <c r="I25" s="7"/>
      <c r="J25" s="7"/>
    </row>
    <row r="26" ht="15.75" customHeight="1">
      <c r="A26" s="7" t="str">
        <f>IFERROR(__xludf.DUMMYFUNCTION("""COMPUTED_VALUE"""),"Manufacturing and Industrial Processes")</f>
        <v>Manufacturing and Industrial Processes</v>
      </c>
      <c r="B26" s="7" t="str">
        <f>IFERROR(__xludf.DUMMYFUNCTION("""COMPUTED_VALUE"""),"Cement and other Carbonates")</f>
        <v>Cement and other Carbonates</v>
      </c>
      <c r="C26" s="7" t="str">
        <f>IFERROR(__xludf.DUMMYFUNCTION("""COMPUTED_VALUE"""),"cement, lime, glass")</f>
        <v>cement, lime, glass</v>
      </c>
      <c r="D26" s="7" t="str">
        <f>IFERROR(__xludf.DUMMYFUNCTION("""COMPUTED_VALUE"""),"1.A.2.f  Non-metallic Minerals, 2.A.1  Cement Production,2.A.2  Lime Production
2.A.3  Glass Production, 2.A.4  Other Process Uses of Carbonates ")</f>
        <v>1.A.2.f  Non-metallic Minerals, 2.A.1  Cement Production,2.A.2  Lime Production
2.A.3  Glass Production, 2.A.4  Other Process Uses of Carbonates </v>
      </c>
      <c r="E26" s="7"/>
      <c r="F26" s="7"/>
      <c r="G26" s="7"/>
      <c r="H26" s="7"/>
      <c r="I26" s="7"/>
      <c r="J26" s="7"/>
    </row>
    <row r="27" ht="15.75" customHeight="1">
      <c r="A27" s="7" t="str">
        <f>IFERROR(__xludf.DUMMYFUNCTION("""COMPUTED_VALUE"""),"Manufacturing and Industrial Processes")</f>
        <v>Manufacturing and Industrial Processes</v>
      </c>
      <c r="B27" s="7" t="str">
        <f>IFERROR(__xludf.DUMMYFUNCTION("""COMPUTED_VALUE"""),"Chemicals")</f>
        <v>Chemicals</v>
      </c>
      <c r="C27" s="7" t="str">
        <f>IFERROR(__xludf.DUMMYFUNCTION("""COMPUTED_VALUE"""),"chemicals, other-chemicals")</f>
        <v>chemicals, other-chemicals</v>
      </c>
      <c r="D27" s="7" t="str">
        <f>IFERROR(__xludf.DUMMYFUNCTION("""COMPUTED_VALUE"""),"2.B.1  Ammonia Production, 2.B.8.a  Methanol, 2.B.7  Soda Ash Production,  2.B.2  Nitric Acid Production, 2.B.3  Adipic Acid Production,  2.B.4  Caprolactam, Glyoxal and Glyoxylic Acid Production, 2.B.5  Carbide Production, 2.B.6  Titanium Dioxide Product"&amp;"ion, 2.B.8.c  Ethylene Dichloride and Vinyl Chloride Monomer, 2.B.8.d  Ethylene Oxide, 2.B.8.e  Acrylonitrile, 2.B.8.f  Carbon Black, 2.B.8.g  Other, 2.B.10  Other 1.A.2.c  Chemicals")</f>
        <v>2.B.1  Ammonia Production, 2.B.8.a  Methanol, 2.B.7  Soda Ash Production,  2.B.2  Nitric Acid Production, 2.B.3  Adipic Acid Production,  2.B.4  Caprolactam, Glyoxal and Glyoxylic Acid Production, 2.B.5  Carbide Production, 2.B.6  Titanium Dioxide Production, 2.B.8.c  Ethylene Dichloride and Vinyl Chloride Monomer, 2.B.8.d  Ethylene Oxide, 2.B.8.e  Acrylonitrile, 2.B.8.f  Carbon Black, 2.B.8.g  Other, 2.B.10  Other 1.A.2.c  Chemicals</v>
      </c>
      <c r="E27" s="7"/>
      <c r="F27" s="7"/>
      <c r="G27" s="7"/>
      <c r="H27" s="7"/>
      <c r="I27" s="7"/>
      <c r="J27" s="7"/>
    </row>
    <row r="28" ht="15.75" customHeight="1">
      <c r="A28" s="7" t="str">
        <f>IFERROR(__xludf.DUMMYFUNCTION("""COMPUTED_VALUE"""),"Manufacturing and Industrial Processes")</f>
        <v>Manufacturing and Industrial Processes</v>
      </c>
      <c r="B28" s="7" t="str">
        <f>IFERROR(__xludf.DUMMYFUNCTION("""COMPUTED_VALUE"""),"Steel")</f>
        <v>Steel</v>
      </c>
      <c r="C28" s="7" t="str">
        <f>IFERROR(__xludf.DUMMYFUNCTION("""COMPUTED_VALUE"""),"steel")</f>
        <v>steel</v>
      </c>
      <c r="D28" s="7" t="str">
        <f>IFERROR(__xludf.DUMMYFUNCTION("""COMPUTED_VALUE"""),"1.A.2.a  Iron and Steel, 2.C.1  Iron and Steel Production")</f>
        <v>1.A.2.a  Iron and Steel, 2.C.1  Iron and Steel Production</v>
      </c>
      <c r="E28" s="7"/>
      <c r="F28" s="7"/>
      <c r="G28" s="7"/>
      <c r="H28" s="7"/>
      <c r="I28" s="7"/>
      <c r="J28" s="7"/>
    </row>
    <row r="29" ht="15.75" customHeight="1">
      <c r="A29" s="7" t="str">
        <f>IFERROR(__xludf.DUMMYFUNCTION("""COMPUTED_VALUE"""),"Manufacturing and Industrial Processes")</f>
        <v>Manufacturing and Industrial Processes</v>
      </c>
      <c r="B29" s="7" t="str">
        <f>IFERROR(__xludf.DUMMYFUNCTION("""COMPUTED_VALUE"""),"Aluminum")</f>
        <v>Aluminum</v>
      </c>
      <c r="C29" s="7" t="str">
        <f>IFERROR(__xludf.DUMMYFUNCTION("""COMPUTED_VALUE"""),"aluminum, other-metals")</f>
        <v>aluminum, other-metals</v>
      </c>
      <c r="D29" s="7" t="str">
        <f>IFERROR(__xludf.DUMMYFUNCTION("""COMPUTED_VALUE"""),"1.A.2.b  Non-Ferrous Metals, 2.C.3  Aluminum Production,  2.C.2  Ferroalloys Production, 2.C.4  Magnesium Production, 2.C.5  Lead Production, 2.C.6  Zinc Production, 2.C.7  Other, ")</f>
        <v>1.A.2.b  Non-Ferrous Metals, 2.C.3  Aluminum Production,  2.C.2  Ferroalloys Production, 2.C.4  Magnesium Production, 2.C.5  Lead Production, 2.C.6  Zinc Production, 2.C.7  Other, </v>
      </c>
      <c r="E29" s="7"/>
      <c r="F29" s="7"/>
      <c r="G29" s="7"/>
      <c r="H29" s="7"/>
      <c r="I29" s="7"/>
      <c r="J29" s="7"/>
    </row>
    <row r="30" ht="15.75" customHeight="1">
      <c r="A30" s="7" t="str">
        <f>IFERROR(__xludf.DUMMYFUNCTION("""COMPUTED_VALUE"""),"Manufacturing and Industrial Processes")</f>
        <v>Manufacturing and Industrial Processes</v>
      </c>
      <c r="B30" s="7" t="str">
        <f>IFERROR(__xludf.DUMMYFUNCTION("""COMPUTED_VALUE"""),"Pulp and Paper")</f>
        <v>Pulp and Paper</v>
      </c>
      <c r="C30" s="7" t="str">
        <f>IFERROR(__xludf.DUMMYFUNCTION("""COMPUTED_VALUE"""),"pulp-and-paper")</f>
        <v>pulp-and-paper</v>
      </c>
      <c r="D30" s="7" t="str">
        <f>IFERROR(__xludf.DUMMYFUNCTION("""COMPUTED_VALUE"""),"1.A.2.d  Pulp, Paper and Print")</f>
        <v>1.A.2.d  Pulp, Paper and Print</v>
      </c>
      <c r="E30" s="7"/>
      <c r="F30" s="7"/>
      <c r="G30" s="7"/>
      <c r="H30" s="7"/>
      <c r="I30" s="7"/>
      <c r="J30" s="7"/>
    </row>
    <row r="31" ht="15.75" customHeight="1">
      <c r="A31" s="7" t="str">
        <f>IFERROR(__xludf.DUMMYFUNCTION("""COMPUTED_VALUE"""),"Manufacturing and Industrial Processes")</f>
        <v>Manufacturing and Industrial Processes</v>
      </c>
      <c r="B31" s="7" t="str">
        <f>IFERROR(__xludf.DUMMYFUNCTION("""COMPUTED_VALUE"""),"Food and Beverage")</f>
        <v>Food and Beverage</v>
      </c>
      <c r="C31" s="7" t="str">
        <f>IFERROR(__xludf.DUMMYFUNCTION("""COMPUTED_VALUE"""),"food-beverage-tobacco")</f>
        <v>food-beverage-tobacco</v>
      </c>
      <c r="D31" s="7" t="str">
        <f>IFERROR(__xludf.DUMMYFUNCTION("""COMPUTED_VALUE"""),"1.A.2.e  Food Processing, Beverages and Tobacco,  2.H.2  Food and Beverages Industry")</f>
        <v>1.A.2.e  Food Processing, Beverages and Tobacco,  2.H.2  Food and Beverages Industry</v>
      </c>
      <c r="E31" s="7"/>
      <c r="F31" s="7"/>
      <c r="G31" s="7"/>
      <c r="H31" s="7"/>
      <c r="I31" s="7"/>
      <c r="J31" s="7"/>
    </row>
    <row r="32" ht="15.75" customHeight="1">
      <c r="A32" s="7" t="str">
        <f>IFERROR(__xludf.DUMMYFUNCTION("""COMPUTED_VALUE"""),"Manufacturing and Industrial Processes")</f>
        <v>Manufacturing and Industrial Processes</v>
      </c>
      <c r="B32" s="7" t="str">
        <f>IFERROR(__xludf.DUMMYFUNCTION("""COMPUTED_VALUE"""),"Wood and Wood Products")</f>
        <v>Wood and Wood Products</v>
      </c>
      <c r="C32" s="7" t="str">
        <f>IFERROR(__xludf.DUMMYFUNCTION("""COMPUTED_VALUE"""),"wood-and-wood-products")</f>
        <v>wood-and-wood-products</v>
      </c>
      <c r="D32" s="7" t="str">
        <f>IFERROR(__xludf.DUMMYFUNCTION("""COMPUTED_VALUE"""),"1.A.2.g.iv  Wood and Wood Products,")</f>
        <v>1.A.2.g.iv  Wood and Wood Products,</v>
      </c>
      <c r="E32" s="7"/>
      <c r="F32" s="7"/>
      <c r="G32" s="7"/>
      <c r="H32" s="7"/>
      <c r="I32" s="7"/>
      <c r="J32" s="7"/>
    </row>
    <row r="33" ht="15.75" customHeight="1">
      <c r="A33" s="7" t="str">
        <f>IFERROR(__xludf.DUMMYFUNCTION("""COMPUTED_VALUE"""),"Manufacturing and Industrial Processes")</f>
        <v>Manufacturing and Industrial Processes</v>
      </c>
      <c r="B33" s="7" t="str">
        <f>IFERROR(__xludf.DUMMYFUNCTION("""COMPUTED_VALUE"""),"Textiles Leather and Apparel")</f>
        <v>Textiles Leather and Apparel</v>
      </c>
      <c r="C33" s="7" t="str">
        <f>IFERROR(__xludf.DUMMYFUNCTION("""COMPUTED_VALUE"""),"textiles-leather-apparel")</f>
        <v>textiles-leather-apparel</v>
      </c>
      <c r="D33" s="7" t="str">
        <f>IFERROR(__xludf.DUMMYFUNCTION("""COMPUTED_VALUE"""),"1.A.2.g.vi  Textile and Leather")</f>
        <v>1.A.2.g.vi  Textile and Leather</v>
      </c>
      <c r="E33" s="7"/>
      <c r="F33" s="7"/>
      <c r="G33" s="7"/>
      <c r="H33" s="7"/>
      <c r="I33" s="7"/>
      <c r="J33" s="7"/>
    </row>
    <row r="34" ht="15.75" customHeight="1">
      <c r="A34" s="7" t="str">
        <f>IFERROR(__xludf.DUMMYFUNCTION("""COMPUTED_VALUE"""),"Manufacturing and Industrial Processes")</f>
        <v>Manufacturing and Industrial Processes</v>
      </c>
      <c r="B34" s="7" t="str">
        <f>IFERROR(__xludf.DUMMYFUNCTION("""COMPUTED_VALUE"""),"Other Manufacturing")</f>
        <v>Other Manufacturing</v>
      </c>
      <c r="C34" s="7" t="str">
        <f>IFERROR(__xludf.DUMMYFUNCTION("""COMPUTED_VALUE"""),"other-manufacturing")</f>
        <v>other-manufacturing</v>
      </c>
      <c r="D34" s="7" t="str">
        <f>IFERROR(__xludf.DUMMYFUNCTION("""COMPUTED_VALUE""")," 1.A.2.g.i  Manufacturing of Machinery, 1.A.2.g.ii  Manufacturing of Transport Equipment, 1.A.2.g.v  Construction, 1.A.2.g.vii  Off-road Vehicles and Other Machinery, 1.A.2.g.viii  Other,   2.D  Non-energy Products from Fuels and Solvent Use, 2.E  Electro"&amp;"nics Industry, 2.G  Other Product Manufacture and Use, 2.H.3  Other")</f>
        <v> 1.A.2.g.i  Manufacturing of Machinery, 1.A.2.g.ii  Manufacturing of Transport Equipment, 1.A.2.g.v  Construction, 1.A.2.g.vii  Off-road Vehicles and Other Machinery, 1.A.2.g.viii  Other,   2.D  Non-energy Products from Fuels and Solvent Use, 2.E  Electronics Industry, 2.G  Other Product Manufacture and Use, 2.H.3  Other</v>
      </c>
      <c r="E34" s="7"/>
      <c r="F34" s="7"/>
      <c r="G34" s="7"/>
      <c r="H34" s="7"/>
      <c r="I34" s="7"/>
      <c r="J34" s="7"/>
    </row>
    <row r="35" ht="15.75" customHeight="1">
      <c r="A35" s="7" t="str">
        <f>IFERROR(__xludf.DUMMYFUNCTION("""COMPUTED_VALUE"""),"Manufacturing and Industrial Processes")</f>
        <v>Manufacturing and Industrial Processes</v>
      </c>
      <c r="B35" s="7" t="str">
        <f>IFERROR(__xludf.DUMMYFUNCTION("""COMPUTED_VALUE"""),"Mining and Quarrying")</f>
        <v>Mining and Quarrying</v>
      </c>
      <c r="C35" s="7" t="str">
        <f>IFERROR(__xludf.DUMMYFUNCTION("""COMPUTED_VALUE"""),"bauxite-mining, iron-mining, copper-mining, sand-quarrying, rock-quarrying, other-mining-and-quarrying")</f>
        <v>bauxite-mining, iron-mining, copper-mining, sand-quarrying, rock-quarrying, other-mining-and-quarrying</v>
      </c>
      <c r="D35" s="7" t="str">
        <f>IFERROR(__xludf.DUMMYFUNCTION("""COMPUTED_VALUE"""),"1.A.2.g.iii  Mining (Excluding Fuels) and Quarrying")</f>
        <v>1.A.2.g.iii  Mining (Excluding Fuels) and Quarrying</v>
      </c>
      <c r="E35" s="7"/>
      <c r="F35" s="7"/>
      <c r="G35" s="7"/>
      <c r="H35" s="7"/>
      <c r="I35" s="7"/>
      <c r="J35" s="7"/>
    </row>
    <row r="36" ht="15.75" customHeight="1">
      <c r="A36" s="7" t="str">
        <f>IFERROR(__xludf.DUMMYFUNCTION("""COMPUTED_VALUE"""),"Manufacturing and Industrial Processes")</f>
        <v>Manufacturing and Industrial Processes</v>
      </c>
      <c r="B36" s="7" t="str">
        <f>IFERROR(__xludf.DUMMYFUNCTION("""COMPUTED_VALUE"""),"Fluorinated Gases")</f>
        <v>Fluorinated Gases</v>
      </c>
      <c r="C36" s="7" t="str">
        <f>IFERROR(__xludf.DUMMYFUNCTION("""COMPUTED_VALUE"""),"fluorinated-gases")</f>
        <v>fluorinated-gases</v>
      </c>
      <c r="D36" s="7" t="str">
        <f>IFERROR(__xludf.DUMMYFUNCTION("""COMPUTED_VALUE"""),"2.B.9  Fluorochemical Production, 2.F  Product Uses as Substitutes for ODS")</f>
        <v>2.B.9  Fluorochemical Production, 2.F  Product Uses as Substitutes for ODS</v>
      </c>
      <c r="E36" s="7"/>
      <c r="F36" s="7"/>
      <c r="G36" s="7"/>
      <c r="H36" s="7"/>
      <c r="I36" s="7"/>
      <c r="J36" s="7"/>
    </row>
    <row r="37" ht="15.75" customHeight="1">
      <c r="A37" s="7" t="str">
        <f>IFERROR(__xludf.DUMMYFUNCTION("""COMPUTED_VALUE"""),"Agriculture")</f>
        <v>Agriculture</v>
      </c>
      <c r="B37" s="7" t="str">
        <f>IFERROR(__xludf.DUMMYFUNCTION("""COMPUTED_VALUE"""),"Agriculture")</f>
        <v>Agriculture</v>
      </c>
      <c r="C37" s="7" t="str">
        <f>IFERROR(__xludf.DUMMYFUNCTION("""COMPUTED_VALUE"""),"enteric-fermentation-cattle-operation, enteric--fermentation-cattle-pasture, manure-management-cattle-operation, manure-left-on-pasture-cattle, enteric-fermentation-other, manure-management-other, rice-cultivation, synthetic-fertilizer-application, other-"&amp;"agricultural-soil-emissions, cropland-fires, crop-residues, manu-applied-to-soils, soil-organic-carbon")</f>
        <v>enteric-fermentation-cattle-operation, enteric--fermentation-cattle-pasture, manure-management-cattle-operation, manure-left-on-pasture-cattle, enteric-fermentation-other, manure-management-other, rice-cultivation, synthetic-fertilizer-application, other-agricultural-soil-emissions, cropland-fires, crop-residues, manu-applied-to-soils, soil-organic-carbon</v>
      </c>
      <c r="D37" s="7"/>
      <c r="E37" s="7" t="str">
        <f>IFERROR(__xludf.DUMMYFUNCTION("""COMPUTED_VALUE"""),"4.  Agriculture, 3.  Agriculture")</f>
        <v>4.  Agriculture, 3.  Agriculture</v>
      </c>
      <c r="F37" s="7"/>
      <c r="G37" s="7"/>
      <c r="H37" s="7"/>
      <c r="I37" s="7"/>
      <c r="J37" s="7"/>
    </row>
    <row r="38" ht="15.75" customHeight="1">
      <c r="A38" s="7" t="str">
        <f>IFERROR(__xludf.DUMMYFUNCTION("""COMPUTED_VALUE"""),"Agriculture")</f>
        <v>Agriculture</v>
      </c>
      <c r="B38" s="7" t="str">
        <f>IFERROR(__xludf.DUMMYFUNCTION("""COMPUTED_VALUE"""),"Enteric Fermentation (Cattle)")</f>
        <v>Enteric Fermentation (Cattle)</v>
      </c>
      <c r="C38" s="7" t="str">
        <f>IFERROR(__xludf.DUMMYFUNCTION("""COMPUTED_VALUE"""),"enteric-fermentation-cattle-operation, enteric--fermentation-cattle-pasture")</f>
        <v>enteric-fermentation-cattle-operation, enteric--fermentation-cattle-pasture</v>
      </c>
      <c r="D38" s="7" t="str">
        <f>IFERROR(__xludf.DUMMYFUNCTION("""COMPUTED_VALUE"""),"3.A.1  Cattle")</f>
        <v>3.A.1  Cattle</v>
      </c>
      <c r="E38" s="7"/>
      <c r="F38" s="7"/>
      <c r="G38" s="7"/>
      <c r="H38" s="7"/>
      <c r="I38" s="7"/>
      <c r="J38" s="7"/>
    </row>
    <row r="39" ht="15.75" customHeight="1">
      <c r="A39" s="7" t="str">
        <f>IFERROR(__xludf.DUMMYFUNCTION("""COMPUTED_VALUE"""),"Agriculture")</f>
        <v>Agriculture</v>
      </c>
      <c r="B39" s="7" t="str">
        <f>IFERROR(__xludf.DUMMYFUNCTION("""COMPUTED_VALUE"""),"Manure Management (Cattle)")</f>
        <v>Manure Management (Cattle)</v>
      </c>
      <c r="C39" s="7" t="str">
        <f>IFERROR(__xludf.DUMMYFUNCTION("""COMPUTED_VALUE"""),"manure-management-cattle-operation, manure-left-on-pasture-cattle")</f>
        <v>manure-management-cattle-operation, manure-left-on-pasture-cattle</v>
      </c>
      <c r="D39" s="7" t="str">
        <f>IFERROR(__xludf.DUMMYFUNCTION("""COMPUTED_VALUE"""),"3.B.1  Cattle")</f>
        <v>3.B.1  Cattle</v>
      </c>
      <c r="E39" s="7"/>
      <c r="F39" s="7"/>
      <c r="G39" s="7"/>
      <c r="H39" s="7"/>
      <c r="I39" s="7"/>
      <c r="J39" s="7"/>
    </row>
    <row r="40" ht="15.75" customHeight="1">
      <c r="A40" s="7" t="str">
        <f>IFERROR(__xludf.DUMMYFUNCTION("""COMPUTED_VALUE"""),"Agriculture")</f>
        <v>Agriculture</v>
      </c>
      <c r="B40" s="7" t="str">
        <f>IFERROR(__xludf.DUMMYFUNCTION("""COMPUTED_VALUE"""),"Enteric Fermentation (Other)")</f>
        <v>Enteric Fermentation (Other)</v>
      </c>
      <c r="C40" s="7" t="str">
        <f>IFERROR(__xludf.DUMMYFUNCTION("""COMPUTED_VALUE"""),"enteric-fermentation-other")</f>
        <v>enteric-fermentation-other</v>
      </c>
      <c r="D40" s="7" t="str">
        <f>IFERROR(__xludf.DUMMYFUNCTION("""COMPUTED_VALUE"""),"3.A.2  Sheep, 3.A.3  Swine, 3.A.4  Other")</f>
        <v>3.A.2  Sheep, 3.A.3  Swine, 3.A.4  Other</v>
      </c>
      <c r="E40" s="7"/>
      <c r="F40" s="7"/>
      <c r="G40" s="7"/>
      <c r="H40" s="7"/>
      <c r="I40" s="7"/>
      <c r="J40" s="7"/>
    </row>
    <row r="41" ht="15.75" customHeight="1">
      <c r="A41" s="7" t="str">
        <f>IFERROR(__xludf.DUMMYFUNCTION("""COMPUTED_VALUE"""),"Agriculture")</f>
        <v>Agriculture</v>
      </c>
      <c r="B41" s="7" t="str">
        <f>IFERROR(__xludf.DUMMYFUNCTION("""COMPUTED_VALUE"""),"Manure Management (Other)")</f>
        <v>Manure Management (Other)</v>
      </c>
      <c r="C41" s="7" t="str">
        <f>IFERROR(__xludf.DUMMYFUNCTION("""COMPUTED_VALUE"""),"manure-management-other")</f>
        <v>manure-management-other</v>
      </c>
      <c r="D41" s="7" t="str">
        <f>IFERROR(__xludf.DUMMYFUNCTION("""COMPUTED_VALUE"""),"3.B.2  Sheep, 3.B.3  Swine, 3.B.4  Other")</f>
        <v>3.B.2  Sheep, 3.B.3  Swine, 3.B.4  Other</v>
      </c>
      <c r="E41" s="7"/>
      <c r="F41" s="7"/>
      <c r="G41" s="7"/>
      <c r="H41" s="7"/>
      <c r="I41" s="7"/>
      <c r="J41" s="7"/>
    </row>
    <row r="42" ht="15.75" customHeight="1">
      <c r="A42" s="7" t="str">
        <f>IFERROR(__xludf.DUMMYFUNCTION("""COMPUTED_VALUE"""),"Agriculture")</f>
        <v>Agriculture</v>
      </c>
      <c r="B42" s="7" t="str">
        <f>IFERROR(__xludf.DUMMYFUNCTION("""COMPUTED_VALUE"""),"Rice Cultivation")</f>
        <v>Rice Cultivation</v>
      </c>
      <c r="C42" s="7" t="str">
        <f>IFERROR(__xludf.DUMMYFUNCTION("""COMPUTED_VALUE"""),"rice-cultivation")</f>
        <v>rice-cultivation</v>
      </c>
      <c r="D42" s="7" t="str">
        <f>IFERROR(__xludf.DUMMYFUNCTION("""COMPUTED_VALUE"""),"3.C  Rice Cultivation")</f>
        <v>3.C  Rice Cultivation</v>
      </c>
      <c r="E42" s="7"/>
      <c r="F42" s="7"/>
      <c r="G42" s="7"/>
      <c r="H42" s="7"/>
      <c r="I42" s="7"/>
      <c r="J42" s="7"/>
    </row>
    <row r="43" ht="15.75" customHeight="1">
      <c r="A43" s="7" t="str">
        <f>IFERROR(__xludf.DUMMYFUNCTION("""COMPUTED_VALUE"""),"Agriculture")</f>
        <v>Agriculture</v>
      </c>
      <c r="B43" s="7" t="str">
        <f>IFERROR(__xludf.DUMMYFUNCTION("""COMPUTED_VALUE"""),"Synthetic Fertilizer Application")</f>
        <v>Synthetic Fertilizer Application</v>
      </c>
      <c r="C43" s="7" t="str">
        <f>IFERROR(__xludf.DUMMYFUNCTION("""COMPUTED_VALUE"""),"synthetic-fertilizer-application")</f>
        <v>synthetic-fertilizer-application</v>
      </c>
      <c r="D43" s="7" t="str">
        <f>IFERROR(__xludf.DUMMYFUNCTION("""COMPUTED_VALUE"""),"3.D.1.a  Inorganic N Fertilizers")</f>
        <v>3.D.1.a  Inorganic N Fertilizers</v>
      </c>
      <c r="E43" s="7"/>
      <c r="F43" s="7"/>
      <c r="G43" s="7"/>
      <c r="H43" s="7"/>
      <c r="I43" s="7"/>
      <c r="J43" s="7"/>
    </row>
    <row r="44" ht="15.75" customHeight="1">
      <c r="A44" s="7" t="str">
        <f>IFERROR(__xludf.DUMMYFUNCTION("""COMPUTED_VALUE"""),"Agriculture")</f>
        <v>Agriculture</v>
      </c>
      <c r="B44" s="7" t="str">
        <f>IFERROR(__xludf.DUMMYFUNCTION("""COMPUTED_VALUE"""),"Crop Residues")</f>
        <v>Crop Residues</v>
      </c>
      <c r="C44" s="7" t="str">
        <f>IFERROR(__xludf.DUMMYFUNCTION("""COMPUTED_VALUE"""),"crop-residues")</f>
        <v>crop-residues</v>
      </c>
      <c r="D44" s="7" t="str">
        <f>IFERROR(__xludf.DUMMYFUNCTION("""COMPUTED_VALUE"""),"3.D.1.d  Crop Residues")</f>
        <v>3.D.1.d  Crop Residues</v>
      </c>
      <c r="E44" s="7"/>
      <c r="F44" s="7"/>
      <c r="G44" s="7"/>
      <c r="H44" s="7"/>
      <c r="I44" s="7"/>
      <c r="J44" s="7"/>
    </row>
    <row r="45" ht="15.75" customHeight="1">
      <c r="A45" s="7" t="str">
        <f>IFERROR(__xludf.DUMMYFUNCTION("""COMPUTED_VALUE"""),"Agriculture")</f>
        <v>Agriculture</v>
      </c>
      <c r="B45" s="7" t="str">
        <f>IFERROR(__xludf.DUMMYFUNCTION("""COMPUTED_VALUE"""),"Manure Applied to Soils")</f>
        <v>Manure Applied to Soils</v>
      </c>
      <c r="C45" s="7" t="str">
        <f>IFERROR(__xludf.DUMMYFUNCTION("""COMPUTED_VALUE"""),"manure-applied-to-soils")</f>
        <v>manure-applied-to-soils</v>
      </c>
      <c r="D45" s="7" t="str">
        <f>IFERROR(__xludf.DUMMYFUNCTION("""COMPUTED_VALUE"""),"3.D.1.b  Organic N Fertilizers,
3.D.1.c  Urine and Dung Deposited by Grazing Animals")</f>
        <v>3.D.1.b  Organic N Fertilizers,
3.D.1.c  Urine and Dung Deposited by Grazing Animals</v>
      </c>
      <c r="E45" s="7"/>
      <c r="F45" s="7"/>
      <c r="G45" s="7"/>
      <c r="H45" s="7"/>
      <c r="I45" s="7"/>
      <c r="J45" s="7"/>
    </row>
    <row r="46" ht="15.75" customHeight="1">
      <c r="A46" s="7" t="str">
        <f>IFERROR(__xludf.DUMMYFUNCTION("""COMPUTED_VALUE"""),"Agriculture")</f>
        <v>Agriculture</v>
      </c>
      <c r="B46" s="7" t="str">
        <f>IFERROR(__xludf.DUMMYFUNCTION("""COMPUTED_VALUE"""),"Other Agricultural Soil Emissions")</f>
        <v>Other Agricultural Soil Emissions</v>
      </c>
      <c r="C46" s="7" t="str">
        <f>IFERROR(__xludf.DUMMYFUNCTION("""COMPUTED_VALUE"""),"other-agricultural-soil-emissions")</f>
        <v>other-agricultural-soil-emissions</v>
      </c>
      <c r="D46" s="7" t="str">
        <f>IFERROR(__xludf.DUMMYFUNCTION("""COMPUTED_VALUE"""),"3.D.1.e  Mineralization/Immobilization Associated with Loss/Gain of Soil Organic Matter, 3.D.1.f  Cultivation of Organic Soils, 3.D.1.g  Other, 3.D.2  Indirect N₂O Emissions From Managed Soils, 3.G  Liming, 3.H  Urea Application, 3.I  Other Carbon-contain"&amp;"ing Fertilizers, 3.J  Other")</f>
        <v>3.D.1.e  Mineralization/Immobilization Associated with Loss/Gain of Soil Organic Matter, 3.D.1.f  Cultivation of Organic Soils, 3.D.1.g  Other, 3.D.2  Indirect N₂O Emissions From Managed Soils, 3.G  Liming, 3.H  Urea Application, 3.I  Other Carbon-containing Fertilizers, 3.J  Other</v>
      </c>
      <c r="E46" s="7"/>
      <c r="F46" s="7"/>
      <c r="G46" s="7"/>
      <c r="H46" s="7"/>
      <c r="I46" s="7"/>
      <c r="J46" s="7"/>
    </row>
    <row r="47" ht="15.75" customHeight="1">
      <c r="A47" s="7" t="str">
        <f>IFERROR(__xludf.DUMMYFUNCTION("""COMPUTED_VALUE"""),"Agriculture")</f>
        <v>Agriculture</v>
      </c>
      <c r="B47" s="7" t="str">
        <f>IFERROR(__xludf.DUMMYFUNCTION("""COMPUTED_VALUE"""),"Cropland Fires")</f>
        <v>Cropland Fires</v>
      </c>
      <c r="C47" s="7" t="str">
        <f>IFERROR(__xludf.DUMMYFUNCTION("""COMPUTED_VALUE"""),"cropland-fires")</f>
        <v>cropland-fires</v>
      </c>
      <c r="D47" s="7" t="str">
        <f>IFERROR(__xludf.DUMMYFUNCTION("""COMPUTED_VALUE"""),"3.F  Field Burning of Agricultural Residues")</f>
        <v>3.F  Field Burning of Agricultural Residues</v>
      </c>
      <c r="E47" s="7"/>
      <c r="F47" s="7"/>
      <c r="G47" s="7"/>
      <c r="H47" s="7"/>
      <c r="I47" s="7"/>
      <c r="J47" s="7"/>
    </row>
    <row r="48" ht="15.75" customHeight="1">
      <c r="A48" s="7" t="str">
        <f>IFERROR(__xludf.DUMMYFUNCTION("""COMPUTED_VALUE"""),"Waste")</f>
        <v>Waste</v>
      </c>
      <c r="B48" s="7" t="str">
        <f>IFERROR(__xludf.DUMMYFUNCTION("""COMPUTED_VALUE"""),"Waste")</f>
        <v>Waste</v>
      </c>
      <c r="C48" s="7" t="str">
        <f>IFERROR(__xludf.DUMMYFUNCTION("""COMPUTED_VALUE"""),"solid-waste-disposal, biological-treatment-of-solid-waste-and-biogenic, incineration-and-open-burning-of-waste, domestic-wastewater-treatment-and-discharge, industrial-wastewater-treatment-and-discharge")</f>
        <v>solid-waste-disposal, biological-treatment-of-solid-waste-and-biogenic, incineration-and-open-burning-of-waste, domestic-wastewater-treatment-and-discharge, industrial-wastewater-treatment-and-discharge</v>
      </c>
      <c r="D48" s="7"/>
      <c r="E48" s="7" t="str">
        <f>IFERROR(__xludf.DUMMYFUNCTION("""COMPUTED_VALUE"""),"6.  Waste, 5.  Waste")</f>
        <v>6.  Waste, 5.  Waste</v>
      </c>
      <c r="F48" s="7"/>
      <c r="G48" s="7"/>
      <c r="H48" s="7"/>
      <c r="I48" s="7"/>
      <c r="J48" s="7"/>
    </row>
    <row r="49" ht="15.75" customHeight="1">
      <c r="A49" s="7" t="str">
        <f>IFERROR(__xludf.DUMMYFUNCTION("""COMPUTED_VALUE"""),"Waste")</f>
        <v>Waste</v>
      </c>
      <c r="B49" s="7" t="str">
        <f>IFERROR(__xludf.DUMMYFUNCTION("""COMPUTED_VALUE"""),"Solid Waste Disposal")</f>
        <v>Solid Waste Disposal</v>
      </c>
      <c r="C49" s="7" t="str">
        <f>IFERROR(__xludf.DUMMYFUNCTION("""COMPUTED_VALUE"""),"solid-waste-disposal")</f>
        <v>solid-waste-disposal</v>
      </c>
      <c r="D49" s="7" t="str">
        <f>IFERROR(__xludf.DUMMYFUNCTION("""COMPUTED_VALUE"""),"5.A  Solid Waste Disposal")</f>
        <v>5.A  Solid Waste Disposal</v>
      </c>
      <c r="E49" s="7"/>
      <c r="F49" s="7"/>
      <c r="G49" s="7"/>
      <c r="H49" s="7"/>
      <c r="I49" s="7"/>
      <c r="J49" s="7"/>
    </row>
    <row r="50" ht="15.75" customHeight="1">
      <c r="A50" s="7" t="str">
        <f>IFERROR(__xludf.DUMMYFUNCTION("""COMPUTED_VALUE"""),"Waste")</f>
        <v>Waste</v>
      </c>
      <c r="B50" s="7" t="str">
        <f>IFERROR(__xludf.DUMMYFUNCTION("""COMPUTED_VALUE"""),"Biological Treatment of Solid Waste")</f>
        <v>Biological Treatment of Solid Waste</v>
      </c>
      <c r="C50" s="7" t="str">
        <f>IFERROR(__xludf.DUMMYFUNCTION("""COMPUTED_VALUE"""),"biological-treatment-of-solid-waste-and-biogenic")</f>
        <v>biological-treatment-of-solid-waste-and-biogenic</v>
      </c>
      <c r="D50" s="7" t="str">
        <f>IFERROR(__xludf.DUMMYFUNCTION("""COMPUTED_VALUE"""),"5.B  Biological Treatment of Solid Waste")</f>
        <v>5.B  Biological Treatment of Solid Waste</v>
      </c>
      <c r="E50" s="7"/>
      <c r="F50" s="7"/>
      <c r="G50" s="7"/>
      <c r="H50" s="7"/>
      <c r="I50" s="7"/>
      <c r="J50" s="7"/>
    </row>
    <row r="51" ht="15.75" customHeight="1">
      <c r="A51" s="7" t="str">
        <f>IFERROR(__xludf.DUMMYFUNCTION("""COMPUTED_VALUE"""),"Waste")</f>
        <v>Waste</v>
      </c>
      <c r="B51" s="7" t="str">
        <f>IFERROR(__xludf.DUMMYFUNCTION("""COMPUTED_VALUE"""),"Incineration and Open Burning of Waste")</f>
        <v>Incineration and Open Burning of Waste</v>
      </c>
      <c r="C51" s="7" t="str">
        <f>IFERROR(__xludf.DUMMYFUNCTION("""COMPUTED_VALUE"""),"incineration-and-open-burning-of-waste")</f>
        <v>incineration-and-open-burning-of-waste</v>
      </c>
      <c r="D51" s="7" t="str">
        <f>IFERROR(__xludf.DUMMYFUNCTION("""COMPUTED_VALUE"""),"5.C  Incineration and Open Burning of Waste")</f>
        <v>5.C  Incineration and Open Burning of Waste</v>
      </c>
      <c r="E51" s="7"/>
      <c r="F51" s="7"/>
      <c r="G51" s="7"/>
      <c r="H51" s="7"/>
      <c r="I51" s="7"/>
      <c r="J51" s="7"/>
    </row>
    <row r="52" ht="15.75" customHeight="1">
      <c r="A52" s="7" t="str">
        <f>IFERROR(__xludf.DUMMYFUNCTION("""COMPUTED_VALUE"""),"Waste")</f>
        <v>Waste</v>
      </c>
      <c r="B52" s="7" t="str">
        <f>IFERROR(__xludf.DUMMYFUNCTION("""COMPUTED_VALUE"""),"Wastewater Treatment and Discharge")</f>
        <v>Wastewater Treatment and Discharge</v>
      </c>
      <c r="C52" s="7" t="str">
        <f>IFERROR(__xludf.DUMMYFUNCTION("""COMPUTED_VALUE"""),"domestic-wastewater-treatment-and-discharge")</f>
        <v>domestic-wastewater-treatment-and-discharge</v>
      </c>
      <c r="D52" s="7" t="str">
        <f>IFERROR(__xludf.DUMMYFUNCTION("""COMPUTED_VALUE"""),"5.D  Wastewater Treatment and Discharge")</f>
        <v>5.D  Wastewater Treatment and Discharge</v>
      </c>
      <c r="E52" s="7"/>
      <c r="F52" s="7"/>
      <c r="G52" s="7"/>
      <c r="H52" s="7"/>
      <c r="I52" s="7"/>
      <c r="J52" s="7"/>
    </row>
    <row r="53" ht="15.75" customHeight="1">
      <c r="A53" s="7" t="str">
        <f>IFERROR(__xludf.DUMMYFUNCTION("""COMPUTED_VALUE"""),"Waste")</f>
        <v>Waste</v>
      </c>
      <c r="B53" s="7" t="str">
        <f>IFERROR(__xludf.DUMMYFUNCTION("""COMPUTED_VALUE"""),"Wastewater Treatment and Discharge")</f>
        <v>Wastewater Treatment and Discharge</v>
      </c>
      <c r="C53" s="7" t="str">
        <f>IFERROR(__xludf.DUMMYFUNCTION("""COMPUTED_VALUE"""),"industrial-wastewater-treatment-and-discharge")</f>
        <v>industrial-wastewater-treatment-and-discharge</v>
      </c>
      <c r="D53" s="7" t="str">
        <f>IFERROR(__xludf.DUMMYFUNCTION("""COMPUTED_VALUE"""),"5.D  Wastewater Treatment and Discharge")</f>
        <v>5.D  Wastewater Treatment and Discharge</v>
      </c>
      <c r="E53" s="7"/>
      <c r="F53" s="7"/>
      <c r="G53" s="7"/>
      <c r="H53" s="7"/>
      <c r="I53" s="7"/>
      <c r="J53" s="7"/>
    </row>
    <row r="54" ht="15.75" customHeight="1">
      <c r="A54" s="7" t="str">
        <f>IFERROR(__xludf.DUMMYFUNCTION("""COMPUTED_VALUE"""),"Waste")</f>
        <v>Waste</v>
      </c>
      <c r="B54" s="7" t="str">
        <f>IFERROR(__xludf.DUMMYFUNCTION("""COMPUTED_VALUE"""),"Other Waste")</f>
        <v>Other Waste</v>
      </c>
      <c r="C54" s="7"/>
      <c r="D54" s="7" t="str">
        <f>IFERROR(__xludf.DUMMYFUNCTION("""COMPUTED_VALUE"""),"5.E  Other")</f>
        <v>5.E  Other</v>
      </c>
      <c r="E54" s="7"/>
      <c r="F54" s="7"/>
      <c r="G54" s="7"/>
      <c r="H54" s="7"/>
      <c r="I54" s="7"/>
      <c r="J54" s="7"/>
    </row>
    <row r="55" ht="15.75" customHeight="1">
      <c r="A55" s="7" t="str">
        <f>IFERROR(__xludf.DUMMYFUNCTION("""COMPUTED_VALUE"""),"Forestry and Land Use Change")</f>
        <v>Forestry and Land Use Change</v>
      </c>
      <c r="B55" s="7" t="str">
        <f>IFERROR(__xludf.DUMMYFUNCTION("""COMPUTED_VALUE"""),"Forestry and Land Use Change")</f>
        <v>Forestry and Land Use Change</v>
      </c>
      <c r="C55" s="7" t="str">
        <f>IFERROR(__xludf.DUMMYFUNCTION("""COMPUTED_VALUE"""),"net-forest-land, net-shrubgrass, net-wetland, water-reservoirs")</f>
        <v>net-forest-land, net-shrubgrass, net-wetland, water-reservoirs</v>
      </c>
      <c r="D55" s="7"/>
      <c r="E55" s="7" t="str">
        <f>IFERROR(__xludf.DUMMYFUNCTION("""COMPUTED_VALUE"""),"5.  Land-Use Change and Forestry")</f>
        <v>5.  Land-Use Change and Forestry</v>
      </c>
      <c r="F55" s="7"/>
      <c r="G55" s="7"/>
      <c r="H55" s="7"/>
      <c r="I55" s="7"/>
      <c r="J55" s="7"/>
    </row>
    <row r="56" ht="15.75" customHeight="1">
      <c r="A56" s="7" t="str">
        <f>IFERROR(__xludf.DUMMYFUNCTION("""COMPUTED_VALUE"""),"Forestry and Land Use Change")</f>
        <v>Forestry and Land Use Change</v>
      </c>
      <c r="B56" s="7" t="str">
        <f>IFERROR(__xludf.DUMMYFUNCTION("""COMPUTED_VALUE"""),"Net Forest Land")</f>
        <v>Net Forest Land</v>
      </c>
      <c r="C56" s="7" t="str">
        <f>IFERROR(__xludf.DUMMYFUNCTION("""COMPUTED_VALUE"""),"net-forest-land")</f>
        <v>net-forest-land</v>
      </c>
      <c r="D56" s="7" t="str">
        <f>IFERROR(__xludf.DUMMYFUNCTION("""COMPUTED_VALUE"""),"4.A  Forest Land")</f>
        <v>4.A  Forest Land</v>
      </c>
      <c r="E56" s="7"/>
      <c r="F56" s="7"/>
      <c r="G56" s="7"/>
      <c r="H56" s="7"/>
      <c r="I56" s="7"/>
      <c r="J56" s="7"/>
    </row>
    <row r="57" ht="15.75" customHeight="1">
      <c r="A57" s="7" t="str">
        <f>IFERROR(__xludf.DUMMYFUNCTION("""COMPUTED_VALUE"""),"Forestry and Land Use Change")</f>
        <v>Forestry and Land Use Change</v>
      </c>
      <c r="B57" s="7" t="str">
        <f>IFERROR(__xludf.DUMMYFUNCTION("""COMPUTED_VALUE"""),"Net Shrubgrass")</f>
        <v>Net Shrubgrass</v>
      </c>
      <c r="C57" s="7" t="str">
        <f>IFERROR(__xludf.DUMMYFUNCTION("""COMPUTED_VALUE"""),"net-shrubgrass")</f>
        <v>net-shrubgrass</v>
      </c>
      <c r="D57" s="7" t="str">
        <f>IFERROR(__xludf.DUMMYFUNCTION("""COMPUTED_VALUE"""),"4.C  Grassland")</f>
        <v>4.C  Grassland</v>
      </c>
      <c r="E57" s="7"/>
      <c r="F57" s="7"/>
      <c r="G57" s="7"/>
      <c r="H57" s="7"/>
      <c r="I57" s="7"/>
      <c r="J57" s="7"/>
    </row>
    <row r="58" ht="15.75" customHeight="1">
      <c r="A58" s="7" t="str">
        <f>IFERROR(__xludf.DUMMYFUNCTION("""COMPUTED_VALUE"""),"Forestry and Land Use Change")</f>
        <v>Forestry and Land Use Change</v>
      </c>
      <c r="B58" s="7" t="str">
        <f>IFERROR(__xludf.DUMMYFUNCTION("""COMPUTED_VALUE"""),"Net Wetland")</f>
        <v>Net Wetland</v>
      </c>
      <c r="C58" s="7" t="str">
        <f>IFERROR(__xludf.DUMMYFUNCTION("""COMPUTED_VALUE"""),"net-wetland")</f>
        <v>net-wetland</v>
      </c>
      <c r="D58" s="7" t="str">
        <f>IFERROR(__xludf.DUMMYFUNCTION("""COMPUTED_VALUE"""),"4.D.1.a  Peat Extraction Remaining Peat Extraction, 4.D.1.c  Other Wetlands Remaining Other Wetlands, 4.D.2  Land Converted to Wetlands")</f>
        <v>4.D.1.a  Peat Extraction Remaining Peat Extraction, 4.D.1.c  Other Wetlands Remaining Other Wetlands, 4.D.2  Land Converted to Wetlands</v>
      </c>
      <c r="E58" s="7"/>
      <c r="F58" s="7"/>
      <c r="G58" s="7"/>
      <c r="H58" s="7"/>
      <c r="I58" s="7"/>
      <c r="J58" s="7"/>
    </row>
    <row r="59" ht="15.75" customHeight="1">
      <c r="A59" s="7" t="str">
        <f>IFERROR(__xludf.DUMMYFUNCTION("""COMPUTED_VALUE"""),"Forestry and Land Use Change")</f>
        <v>Forestry and Land Use Change</v>
      </c>
      <c r="B59" s="7" t="str">
        <f>IFERROR(__xludf.DUMMYFUNCTION("""COMPUTED_VALUE"""),"Water Reservoirs")</f>
        <v>Water Reservoirs</v>
      </c>
      <c r="C59" s="7" t="str">
        <f>IFERROR(__xludf.DUMMYFUNCTION("""COMPUTED_VALUE"""),"water-reservoirs")</f>
        <v>water-reservoirs</v>
      </c>
      <c r="D59" s="7" t="str">
        <f>IFERROR(__xludf.DUMMYFUNCTION("""COMPUTED_VALUE"""),"4.D.1.b  Flooded Land Remaining Flooded Land")</f>
        <v>4.D.1.b  Flooded Land Remaining Flooded Land</v>
      </c>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6" t="str">
        <f>IFERROR(__xludf.DUMMYFUNCTION("IMPORTRANGE(""https://docs.google.com/spreadsheets/d/1VvOGcBodrKNXu3BjZqF9bmJ342Ts6Alxj2RYSMAL658/edit#gid=0"", ""edgar-analysis-util!A1:J200"")"),"Comparison Sector")</f>
        <v>Comparison Sector</v>
      </c>
      <c r="B1" s="7" t="str">
        <f>IFERROR(__xludf.DUMMYFUNCTION("""COMPUTED_VALUE"""),"Comparison Subsector")</f>
        <v>Comparison Subsector</v>
      </c>
      <c r="C1" s="7" t="str">
        <f>IFERROR(__xludf.DUMMYFUNCTION("""COMPUTED_VALUE"""),"Climate TRACE Sectors")</f>
        <v>Climate TRACE Sectors</v>
      </c>
      <c r="D1" s="7" t="str">
        <f>IFERROR(__xludf.DUMMYFUNCTION("""COMPUTED_VALUE"""),"EDGAR Sectors")</f>
        <v>EDGAR Sectors</v>
      </c>
      <c r="E1" s="7"/>
      <c r="F1" s="7"/>
      <c r="G1" s="7"/>
      <c r="H1" s="7"/>
      <c r="I1" s="7"/>
      <c r="J1" s="7"/>
    </row>
    <row r="2" ht="15.75" customHeight="1">
      <c r="A2" s="7" t="str">
        <f>IFERROR(__xludf.DUMMYFUNCTION("""COMPUTED_VALUE"""),"Energy Industries and Fugitive Emissions")</f>
        <v>Energy Industries and Fugitive Emissions</v>
      </c>
      <c r="B2" s="7" t="str">
        <f>IFERROR(__xludf.DUMMYFUNCTION("""COMPUTED_VALUE"""),"Electricity Generation and Other Energy Use")</f>
        <v>Electricity Generation and Other Energy Use</v>
      </c>
      <c r="C2" s="7" t="str">
        <f>IFERROR(__xludf.DUMMYFUNCTION("""COMPUTED_VALUE"""),"electricity-generation, heat-plants, other-energy-use")</f>
        <v>electricity-generation, heat-plants, other-energy-use</v>
      </c>
      <c r="D2" s="7" t="str">
        <f>IFERROR(__xludf.DUMMYFUNCTION("""COMPUTED_VALUE"""),"1.A.1.a Main Activity Electricity and Heat Production")</f>
        <v>1.A.1.a Main Activity Electricity and Heat Production</v>
      </c>
      <c r="E2" s="7">
        <f>IFERROR(__xludf.DUMMYFUNCTION("""COMPUTED_VALUE"""),3.0)</f>
        <v>3</v>
      </c>
      <c r="F2" s="7"/>
      <c r="G2" s="7"/>
      <c r="H2" s="7"/>
      <c r="I2" s="7"/>
      <c r="J2" s="7"/>
    </row>
    <row r="3" ht="15.75" customHeight="1">
      <c r="A3" s="7" t="str">
        <f>IFERROR(__xludf.DUMMYFUNCTION("""COMPUTED_VALUE"""),"Energy Industries and Fugitive Emissions")</f>
        <v>Energy Industries and Fugitive Emissions</v>
      </c>
      <c r="B3" s="7" t="str">
        <f>IFERROR(__xludf.DUMMYFUNCTION("""COMPUTED_VALUE"""),"Fossil Fuel Operations")</f>
        <v>Fossil Fuel Operations</v>
      </c>
      <c r="C3" s="7" t="str">
        <f>IFERROR(__xludf.DUMMYFUNCTION("""COMPUTED_VALUE"""),"coal-mining, other-solid-fuels, oil-and-gas-production, oil-and-gas-transport, oil-and-gas-refining, other-fossil-fuel-operations")</f>
        <v>coal-mining, other-solid-fuels, oil-and-gas-production, oil-and-gas-transport, oil-and-gas-refining, other-fossil-fuel-operations</v>
      </c>
      <c r="D3" s="7" t="str">
        <f>IFERROR(__xludf.DUMMYFUNCTION("""COMPUTED_VALUE"""),"1.B.1 Solid Fuels, 1.B.2 Oil and Natural Gas, 1.A.1.bc Petroleum Refining - Manufacture of Solid Fuels and Other Energy Industries")</f>
        <v>1.B.1 Solid Fuels, 1.B.2 Oil and Natural Gas, 1.A.1.bc Petroleum Refining - Manufacture of Solid Fuels and Other Energy Industries</v>
      </c>
      <c r="E3" s="7">
        <f>IFERROR(__xludf.DUMMYFUNCTION("""COMPUTED_VALUE"""),6.0)</f>
        <v>6</v>
      </c>
      <c r="F3" s="7"/>
      <c r="G3" s="7"/>
      <c r="H3" s="7"/>
      <c r="I3" s="7"/>
      <c r="J3" s="7"/>
    </row>
    <row r="4" ht="15.75" customHeight="1">
      <c r="A4" s="7" t="str">
        <f>IFERROR(__xludf.DUMMYFUNCTION("""COMPUTED_VALUE"""),"Transport")</f>
        <v>Transport</v>
      </c>
      <c r="B4" s="7" t="str">
        <f>IFERROR(__xludf.DUMMYFUNCTION("""COMPUTED_VALUE"""),"Domestic Aviation")</f>
        <v>Domestic Aviation</v>
      </c>
      <c r="C4" s="7" t="str">
        <f>IFERROR(__xludf.DUMMYFUNCTION("""COMPUTED_VALUE"""),"domestic-aviation")</f>
        <v>domestic-aviation</v>
      </c>
      <c r="D4" s="7" t="str">
        <f>IFERROR(__xludf.DUMMYFUNCTION("""COMPUTED_VALUE"""),"1.A.3.a Civil Aviation")</f>
        <v>1.A.3.a Civil Aviation</v>
      </c>
      <c r="E4" s="7">
        <f>IFERROR(__xludf.DUMMYFUNCTION("""COMPUTED_VALUE"""),1.0)</f>
        <v>1</v>
      </c>
      <c r="F4" s="7"/>
      <c r="G4" s="7"/>
      <c r="H4" s="7"/>
      <c r="I4" s="7"/>
      <c r="J4" s="7"/>
    </row>
    <row r="5" ht="15.75" customHeight="1">
      <c r="A5" s="7" t="str">
        <f>IFERROR(__xludf.DUMMYFUNCTION("""COMPUTED_VALUE"""),"Transport")</f>
        <v>Transport</v>
      </c>
      <c r="B5" s="7" t="str">
        <f>IFERROR(__xludf.DUMMYFUNCTION("""COMPUTED_VALUE"""),"Domestic Shipping")</f>
        <v>Domestic Shipping</v>
      </c>
      <c r="C5" s="7" t="str">
        <f>IFERROR(__xludf.DUMMYFUNCTION("""COMPUTED_VALUE"""),"domestic-shipping")</f>
        <v>domestic-shipping</v>
      </c>
      <c r="D5" s="7" t="str">
        <f>IFERROR(__xludf.DUMMYFUNCTION("""COMPUTED_VALUE"""),"1.A.3.d Water-borne Navigation")</f>
        <v>1.A.3.d Water-borne Navigation</v>
      </c>
      <c r="E5" s="7">
        <f>IFERROR(__xludf.DUMMYFUNCTION("""COMPUTED_VALUE"""),1.0)</f>
        <v>1</v>
      </c>
      <c r="F5" s="7"/>
      <c r="G5" s="7"/>
      <c r="H5" s="7"/>
      <c r="I5" s="7"/>
      <c r="J5" s="7"/>
    </row>
    <row r="6" ht="15.75" customHeight="1">
      <c r="A6" s="7" t="str">
        <f>IFERROR(__xludf.DUMMYFUNCTION("""COMPUTED_VALUE"""),"Transport")</f>
        <v>Transport</v>
      </c>
      <c r="B6" s="7" t="str">
        <f>IFERROR(__xludf.DUMMYFUNCTION("""COMPUTED_VALUE"""),"International Aviation and Shipping")</f>
        <v>International Aviation and Shipping</v>
      </c>
      <c r="C6" s="7" t="str">
        <f>IFERROR(__xludf.DUMMYFUNCTION("""COMPUTED_VALUE"""),"international-aviation, international-shipping")</f>
        <v>international-aviation, international-shipping</v>
      </c>
      <c r="D6" s="7"/>
      <c r="E6" s="7">
        <f>IFERROR(__xludf.DUMMYFUNCTION("""COMPUTED_VALUE"""),2.0)</f>
        <v>2</v>
      </c>
      <c r="F6" s="7"/>
      <c r="G6" s="7"/>
      <c r="H6" s="7"/>
      <c r="I6" s="7"/>
      <c r="J6" s="7"/>
    </row>
    <row r="7" ht="15.75" customHeight="1">
      <c r="A7" s="7" t="str">
        <f>IFERROR(__xludf.DUMMYFUNCTION("""COMPUTED_VALUE"""),"Transport")</f>
        <v>Transport</v>
      </c>
      <c r="B7" s="7" t="str">
        <f>IFERROR(__xludf.DUMMYFUNCTION("""COMPUTED_VALUE"""),"Road Transportation")</f>
        <v>Road Transportation</v>
      </c>
      <c r="C7" s="7" t="str">
        <f>IFERROR(__xludf.DUMMYFUNCTION("""COMPUTED_VALUE"""),"road-transportation")</f>
        <v>road-transportation</v>
      </c>
      <c r="D7" s="7" t="str">
        <f>IFERROR(__xludf.DUMMYFUNCTION("""COMPUTED_VALUE"""),"1.A.3.b_noRES Road Transportation no resuspension")</f>
        <v>1.A.3.b_noRES Road Transportation no resuspension</v>
      </c>
      <c r="E7" s="7">
        <f>IFERROR(__xludf.DUMMYFUNCTION("""COMPUTED_VALUE"""),1.0)</f>
        <v>1</v>
      </c>
      <c r="F7" s="7"/>
      <c r="G7" s="7"/>
      <c r="H7" s="7"/>
      <c r="I7" s="7"/>
      <c r="J7" s="7"/>
    </row>
    <row r="8" ht="15.75" customHeight="1">
      <c r="A8" s="7" t="str">
        <f>IFERROR(__xludf.DUMMYFUNCTION("""COMPUTED_VALUE"""),"Transport")</f>
        <v>Transport</v>
      </c>
      <c r="B8" s="7" t="str">
        <f>IFERROR(__xludf.DUMMYFUNCTION("""COMPUTED_VALUE"""),"Railways")</f>
        <v>Railways</v>
      </c>
      <c r="C8" s="7" t="str">
        <f>IFERROR(__xludf.DUMMYFUNCTION("""COMPUTED_VALUE"""),"railways")</f>
        <v>railways</v>
      </c>
      <c r="D8" s="7" t="str">
        <f>IFERROR(__xludf.DUMMYFUNCTION("""COMPUTED_VALUE"""),"1.A.3.c Railways")</f>
        <v>1.A.3.c Railways</v>
      </c>
      <c r="E8" s="7">
        <f>IFERROR(__xludf.DUMMYFUNCTION("""COMPUTED_VALUE"""),1.0)</f>
        <v>1</v>
      </c>
      <c r="F8" s="7"/>
      <c r="G8" s="7"/>
      <c r="H8" s="7"/>
      <c r="I8" s="7"/>
      <c r="J8" s="7"/>
    </row>
    <row r="9" ht="15.75" customHeight="1">
      <c r="A9" s="7" t="str">
        <f>IFERROR(__xludf.DUMMYFUNCTION("""COMPUTED_VALUE"""),"Transport")</f>
        <v>Transport</v>
      </c>
      <c r="B9" s="7" t="str">
        <f>IFERROR(__xludf.DUMMYFUNCTION("""COMPUTED_VALUE"""),"Other Transport")</f>
        <v>Other Transport</v>
      </c>
      <c r="C9" s="7" t="str">
        <f>IFERROR(__xludf.DUMMYFUNCTION("""COMPUTED_VALUE"""),"other-transport")</f>
        <v>other-transport</v>
      </c>
      <c r="D9" s="7" t="str">
        <f>IFERROR(__xludf.DUMMYFUNCTION("""COMPUTED_VALUE"""),"1.A.3.e Other Transportation")</f>
        <v>1.A.3.e Other Transportation</v>
      </c>
      <c r="E9" s="7">
        <f>IFERROR(__xludf.DUMMYFUNCTION("""COMPUTED_VALUE"""),1.0)</f>
        <v>1</v>
      </c>
      <c r="F9" s="7"/>
      <c r="G9" s="7"/>
      <c r="H9" s="7"/>
      <c r="I9" s="7"/>
      <c r="J9" s="7"/>
    </row>
    <row r="10" ht="15.75" customHeight="1">
      <c r="A10" s="7" t="str">
        <f>IFERROR(__xludf.DUMMYFUNCTION("""COMPUTED_VALUE"""),"Buildings")</f>
        <v>Buildings</v>
      </c>
      <c r="B10" s="7" t="str">
        <f>IFERROR(__xludf.DUMMYFUNCTION("""COMPUTED_VALUE"""),"Residential and Commercial Onsite Fuel Usage")</f>
        <v>Residential and Commercial Onsite Fuel Usage</v>
      </c>
      <c r="C10" s="7" t="str">
        <f>IFERROR(__xludf.DUMMYFUNCTION("""COMPUTED_VALUE"""),"residential-onsite-fuel-usage, non-residential-onsite-fuel-usage")</f>
        <v>residential-onsite-fuel-usage, non-residential-onsite-fuel-usage</v>
      </c>
      <c r="D10" s="7" t="str">
        <f>IFERROR(__xludf.DUMMYFUNCTION("""COMPUTED_VALUE"""),"1.A.4 Residential and other sectors")</f>
        <v>1.A.4 Residential and other sectors</v>
      </c>
      <c r="E10" s="7">
        <f>IFERROR(__xludf.DUMMYFUNCTION("""COMPUTED_VALUE"""),2.0)</f>
        <v>2</v>
      </c>
      <c r="F10" s="7"/>
      <c r="G10" s="7"/>
      <c r="H10" s="7"/>
      <c r="I10" s="7"/>
      <c r="J10" s="7"/>
    </row>
    <row r="11" ht="15.75" customHeight="1">
      <c r="A11" s="7" t="str">
        <f>IFERROR(__xludf.DUMMYFUNCTION("""COMPUTED_VALUE"""),"Buildings")</f>
        <v>Buildings</v>
      </c>
      <c r="B11" s="7" t="str">
        <f>IFERROR(__xludf.DUMMYFUNCTION("""COMPUTED_VALUE"""),"Other Onsite Fuel Usage")</f>
        <v>Other Onsite Fuel Usage</v>
      </c>
      <c r="C11" s="7" t="str">
        <f>IFERROR(__xludf.DUMMYFUNCTION("""COMPUTED_VALUE"""),"other-onsite-fuel-usage")</f>
        <v>other-onsite-fuel-usage</v>
      </c>
      <c r="D11" s="7" t="str">
        <f>IFERROR(__xludf.DUMMYFUNCTION("""COMPUTED_VALUE"""),"1.A.5 Non-Specified")</f>
        <v>1.A.5 Non-Specified</v>
      </c>
      <c r="E11" s="7">
        <f>IFERROR(__xludf.DUMMYFUNCTION("""COMPUTED_VALUE"""),1.0)</f>
        <v>1</v>
      </c>
      <c r="F11" s="7"/>
      <c r="G11" s="7"/>
      <c r="H11" s="7"/>
      <c r="I11" s="7"/>
      <c r="J11" s="7"/>
    </row>
    <row r="12" ht="15.75" customHeight="1">
      <c r="A12" s="7" t="str">
        <f>IFERROR(__xludf.DUMMYFUNCTION("""COMPUTED_VALUE"""),"Manufacturing and Industrial Processes")</f>
        <v>Manufacturing and Industrial Processes</v>
      </c>
      <c r="B12" s="7" t="str">
        <f>IFERROR(__xludf.DUMMYFUNCTION("""COMPUTED_VALUE"""),"Cement")</f>
        <v>Cement</v>
      </c>
      <c r="C12" s="7" t="str">
        <f>IFERROR(__xludf.DUMMYFUNCTION("""COMPUTED_VALUE"""),"cement")</f>
        <v>cement</v>
      </c>
      <c r="D12" s="7" t="str">
        <f>IFERROR(__xludf.DUMMYFUNCTION("""COMPUTED_VALUE"""),"2.A.1 Cement production")</f>
        <v>2.A.1 Cement production</v>
      </c>
      <c r="E12" s="7">
        <f>IFERROR(__xludf.DUMMYFUNCTION("""COMPUTED_VALUE"""),1.0)</f>
        <v>1</v>
      </c>
      <c r="F12" s="7"/>
      <c r="G12" s="7"/>
      <c r="H12" s="7"/>
      <c r="I12" s="7"/>
      <c r="J12" s="7"/>
    </row>
    <row r="13" ht="15.75" customHeight="1">
      <c r="A13" s="7" t="str">
        <f>IFERROR(__xludf.DUMMYFUNCTION("""COMPUTED_VALUE"""),"Manufacturing and Industrial Processes")</f>
        <v>Manufacturing and Industrial Processes</v>
      </c>
      <c r="B13" s="7" t="str">
        <f>IFERROR(__xludf.DUMMYFUNCTION("""COMPUTED_VALUE"""),"Chemicals")</f>
        <v>Chemicals</v>
      </c>
      <c r="C13" s="7" t="str">
        <f>IFERROR(__xludf.DUMMYFUNCTION("""COMPUTED_VALUE"""),"petrochemical-steam-cracking, chemicals, other-chemicals")</f>
        <v>petrochemical-steam-cracking, chemicals, other-chemicals</v>
      </c>
      <c r="D13" s="7" t="str">
        <f>IFERROR(__xludf.DUMMYFUNCTION("""COMPUTED_VALUE"""),"2.B Chemical Industry")</f>
        <v>2.B Chemical Industry</v>
      </c>
      <c r="E13" s="7">
        <f>IFERROR(__xludf.DUMMYFUNCTION("""COMPUTED_VALUE"""),3.0)</f>
        <v>3</v>
      </c>
      <c r="F13" s="7"/>
      <c r="G13" s="7"/>
      <c r="H13" s="7"/>
      <c r="I13" s="7"/>
      <c r="J13" s="7"/>
    </row>
    <row r="14" ht="15.75" customHeight="1">
      <c r="A14" s="7" t="str">
        <f>IFERROR(__xludf.DUMMYFUNCTION("""COMPUTED_VALUE"""),"Manufacturing and Industrial Processes")</f>
        <v>Manufacturing and Industrial Processes</v>
      </c>
      <c r="B14" s="7" t="str">
        <f>IFERROR(__xludf.DUMMYFUNCTION("""COMPUTED_VALUE"""),"Metal Industry")</f>
        <v>Metal Industry</v>
      </c>
      <c r="C14" s="7" t="str">
        <f>IFERROR(__xludf.DUMMYFUNCTION("""COMPUTED_VALUE"""),"steel, aluminum, other-metals")</f>
        <v>steel, aluminum, other-metals</v>
      </c>
      <c r="D14" s="7" t="str">
        <f>IFERROR(__xludf.DUMMYFUNCTION("""COMPUTED_VALUE"""),"2.C Metal Industry")</f>
        <v>2.C Metal Industry</v>
      </c>
      <c r="E14" s="7">
        <f>IFERROR(__xludf.DUMMYFUNCTION("""COMPUTED_VALUE"""),3.0)</f>
        <v>3</v>
      </c>
      <c r="F14" s="7"/>
      <c r="G14" s="7"/>
      <c r="H14" s="7"/>
      <c r="I14" s="7"/>
      <c r="J14" s="7"/>
    </row>
    <row r="15" ht="15.75" customHeight="1">
      <c r="A15" s="7" t="str">
        <f>IFERROR(__xludf.DUMMYFUNCTION("""COMPUTED_VALUE"""),"Manufacturing and Industrial Processes")</f>
        <v>Manufacturing and Industrial Processes</v>
      </c>
      <c r="B15" s="7" t="str">
        <f>IFERROR(__xludf.DUMMYFUNCTION("""COMPUTED_VALUE"""),"Fluorinated Gases")</f>
        <v>Fluorinated Gases</v>
      </c>
      <c r="C15" s="7" t="str">
        <f>IFERROR(__xludf.DUMMYFUNCTION("""COMPUTED_VALUE"""),"fluorinated-gases")</f>
        <v>fluorinated-gases</v>
      </c>
      <c r="D15" s="7" t="str">
        <f>IFERROR(__xludf.DUMMYFUNCTION("""COMPUTED_VALUE"""),"2.F Product Uses as Substitutes for Ozone Depleting Substances")</f>
        <v>2.F Product Uses as Substitutes for Ozone Depleting Substances</v>
      </c>
      <c r="E15" s="7">
        <f>IFERROR(__xludf.DUMMYFUNCTION("""COMPUTED_VALUE"""),1.0)</f>
        <v>1</v>
      </c>
      <c r="F15" s="7"/>
      <c r="G15" s="7"/>
      <c r="H15" s="7"/>
      <c r="I15" s="7"/>
      <c r="J15" s="7"/>
    </row>
    <row r="16" ht="15.75" customHeight="1">
      <c r="A16" s="7" t="str">
        <f>IFERROR(__xludf.DUMMYFUNCTION("""COMPUTED_VALUE"""),"Manufacturing and Industrial Processes")</f>
        <v>Manufacturing and Industrial Processes</v>
      </c>
      <c r="B16" s="7" t="str">
        <f>IFERROR(__xludf.DUMMYFUNCTION("""COMPUTED_VALUE"""),"Lime")</f>
        <v>Lime</v>
      </c>
      <c r="C16" s="7" t="str">
        <f>IFERROR(__xludf.DUMMYFUNCTION("""COMPUTED_VALUE"""),"lime")</f>
        <v>lime</v>
      </c>
      <c r="D16" s="7" t="str">
        <f>IFERROR(__xludf.DUMMYFUNCTION("""COMPUTED_VALUE"""),"2.A.2 Lime production")</f>
        <v>2.A.2 Lime production</v>
      </c>
      <c r="E16" s="7">
        <f>IFERROR(__xludf.DUMMYFUNCTION("""COMPUTED_VALUE"""),1.0)</f>
        <v>1</v>
      </c>
      <c r="F16" s="7"/>
      <c r="G16" s="7"/>
      <c r="H16" s="7"/>
      <c r="I16" s="7"/>
      <c r="J16" s="7"/>
    </row>
    <row r="17" ht="15.75" customHeight="1">
      <c r="A17" s="7" t="str">
        <f>IFERROR(__xludf.DUMMYFUNCTION("""COMPUTED_VALUE"""),"Manufacturing and Industrial Processes")</f>
        <v>Manufacturing and Industrial Processes</v>
      </c>
      <c r="B17" s="7" t="str">
        <f>IFERROR(__xludf.DUMMYFUNCTION("""COMPUTED_VALUE"""),"Glass")</f>
        <v>Glass</v>
      </c>
      <c r="C17" s="7" t="str">
        <f>IFERROR(__xludf.DUMMYFUNCTION("""COMPUTED_VALUE"""),"glass")</f>
        <v>glass</v>
      </c>
      <c r="D17" s="7" t="str">
        <f>IFERROR(__xludf.DUMMYFUNCTION("""COMPUTED_VALUE"""),"2.A.3 Glass Production")</f>
        <v>2.A.3 Glass Production</v>
      </c>
      <c r="E17" s="7">
        <f>IFERROR(__xludf.DUMMYFUNCTION("""COMPUTED_VALUE"""),1.0)</f>
        <v>1</v>
      </c>
      <c r="F17" s="7"/>
      <c r="G17" s="7"/>
      <c r="H17" s="7"/>
      <c r="I17" s="7"/>
      <c r="J17" s="7"/>
    </row>
    <row r="18" ht="15.75" customHeight="1">
      <c r="A18" s="7" t="str">
        <f>IFERROR(__xludf.DUMMYFUNCTION("""COMPUTED_VALUE"""),"Manufacturing and Industrial Processes")</f>
        <v>Manufacturing and Industrial Processes</v>
      </c>
      <c r="B18" s="7" t="str">
        <f>IFERROR(__xludf.DUMMYFUNCTION("""COMPUTED_VALUE"""),"Other Manufacturing  and Industrial Processes")</f>
        <v>Other Manufacturing  and Industrial Processes</v>
      </c>
      <c r="C18" s="7" t="str">
        <f>IFERROR(__xludf.DUMMYFUNCTION("""COMPUTED_VALUE"""),"pulp-and-paper, food-beverage-tobacco, wood-and-wood-products, textiles-leather-apparel, other-manufacturing, sand-quarrying, rock-quarrying, bauxite-mining, iron-mining, copper-mining, other-mining-quarrying")</f>
        <v>pulp-and-paper, food-beverage-tobacco, wood-and-wood-products, textiles-leather-apparel, other-manufacturing, sand-quarrying, rock-quarrying, bauxite-mining, iron-mining, copper-mining, other-mining-quarrying</v>
      </c>
      <c r="D18" s="7" t="str">
        <f>IFERROR(__xludf.DUMMYFUNCTION("""COMPUTED_VALUE"""),"1.A.2 Manufacturing Industries and Construction, 2.G Other Product Manufacture and Use, 2.D Non-Energy Products from Fuels and Solvent Use, 2.E Electronics Industry, 2.A.4 Other Process Uses of Carbonates")</f>
        <v>1.A.2 Manufacturing Industries and Construction, 2.G Other Product Manufacture and Use, 2.D Non-Energy Products from Fuels and Solvent Use, 2.E Electronics Industry, 2.A.4 Other Process Uses of Carbonates</v>
      </c>
      <c r="E18" s="7">
        <f>IFERROR(__xludf.DUMMYFUNCTION("""COMPUTED_VALUE"""),11.0)</f>
        <v>11</v>
      </c>
      <c r="F18" s="7"/>
      <c r="G18" s="7"/>
      <c r="H18" s="7"/>
      <c r="I18" s="7"/>
      <c r="J18" s="7"/>
    </row>
    <row r="19" ht="15.75" customHeight="1">
      <c r="A19" s="7" t="str">
        <f>IFERROR(__xludf.DUMMYFUNCTION("""COMPUTED_VALUE"""),"Agriculture")</f>
        <v>Agriculture</v>
      </c>
      <c r="B19" s="7" t="str">
        <f>IFERROR(__xludf.DUMMYFUNCTION("""COMPUTED_VALUE"""),"Enteric Fermentation")</f>
        <v>Enteric Fermentation</v>
      </c>
      <c r="C19" s="7" t="str">
        <f>IFERROR(__xludf.DUMMYFUNCTION("""COMPUTED_VALUE"""),"enteric-fermentation-cattle-operation, enteric-fermentation-cattle-pasture, enteric-fermentation-other")</f>
        <v>enteric-fermentation-cattle-operation, enteric-fermentation-cattle-pasture, enteric-fermentation-other</v>
      </c>
      <c r="D19" s="7" t="str">
        <f>IFERROR(__xludf.DUMMYFUNCTION("""COMPUTED_VALUE"""),"3.A.1 Enteric Fermentation")</f>
        <v>3.A.1 Enteric Fermentation</v>
      </c>
      <c r="E19" s="7">
        <f>IFERROR(__xludf.DUMMYFUNCTION("""COMPUTED_VALUE"""),3.0)</f>
        <v>3</v>
      </c>
      <c r="F19" s="7"/>
      <c r="G19" s="7"/>
      <c r="H19" s="7"/>
      <c r="I19" s="7"/>
      <c r="J19" s="7"/>
    </row>
    <row r="20" ht="15.75" customHeight="1">
      <c r="A20" s="7" t="str">
        <f>IFERROR(__xludf.DUMMYFUNCTION("""COMPUTED_VALUE"""),"Agriculture")</f>
        <v>Agriculture</v>
      </c>
      <c r="B20" s="7" t="str">
        <f>IFERROR(__xludf.DUMMYFUNCTION("""COMPUTED_VALUE"""),"Manure Management")</f>
        <v>Manure Management</v>
      </c>
      <c r="C20" s="7" t="str">
        <f>IFERROR(__xludf.DUMMYFUNCTION("""COMPUTED_VALUE"""),"manure-management-cattle-operation, manure-management-other, manure-left-on-pasture-cattle")</f>
        <v>manure-management-cattle-operation, manure-management-other, manure-left-on-pasture-cattle</v>
      </c>
      <c r="D20" s="7" t="str">
        <f>IFERROR(__xludf.DUMMYFUNCTION("""COMPUTED_VALUE"""),"3.A.2 Manure Management, 3.C.6 Indirect N2O Emissions from manure management")</f>
        <v>3.A.2 Manure Management, 3.C.6 Indirect N2O Emissions from manure management</v>
      </c>
      <c r="E20" s="7">
        <f>IFERROR(__xludf.DUMMYFUNCTION("""COMPUTED_VALUE"""),3.0)</f>
        <v>3</v>
      </c>
      <c r="F20" s="7"/>
      <c r="G20" s="7"/>
      <c r="H20" s="7"/>
      <c r="I20" s="7"/>
      <c r="J20" s="7"/>
    </row>
    <row r="21" ht="15.75" customHeight="1">
      <c r="A21" s="7" t="str">
        <f>IFERROR(__xludf.DUMMYFUNCTION("""COMPUTED_VALUE"""),"Agriculture")</f>
        <v>Agriculture</v>
      </c>
      <c r="B21" s="7" t="str">
        <f>IFERROR(__xludf.DUMMYFUNCTION("""COMPUTED_VALUE"""),"Rice Cultivation")</f>
        <v>Rice Cultivation</v>
      </c>
      <c r="C21" s="7" t="str">
        <f>IFERROR(__xludf.DUMMYFUNCTION("""COMPUTED_VALUE"""),"rice-cultivation")</f>
        <v>rice-cultivation</v>
      </c>
      <c r="D21" s="7" t="str">
        <f>IFERROR(__xludf.DUMMYFUNCTION("""COMPUTED_VALUE"""),"3.C.7 Rice cultivations")</f>
        <v>3.C.7 Rice cultivations</v>
      </c>
      <c r="E21" s="7">
        <f>IFERROR(__xludf.DUMMYFUNCTION("""COMPUTED_VALUE"""),1.0)</f>
        <v>1</v>
      </c>
      <c r="F21" s="7"/>
      <c r="G21" s="7"/>
      <c r="H21" s="7"/>
      <c r="I21" s="7"/>
      <c r="J21" s="7"/>
    </row>
    <row r="22" ht="15.75" customHeight="1">
      <c r="A22" s="7" t="str">
        <f>IFERROR(__xludf.DUMMYFUNCTION("""COMPUTED_VALUE"""),"Agriculture")</f>
        <v>Agriculture</v>
      </c>
      <c r="B22" s="7" t="str">
        <f>IFERROR(__xludf.DUMMYFUNCTION("""COMPUTED_VALUE"""),"Direct Nitrogen Emissions from Agricultural Soils ")</f>
        <v>Direct Nitrogen Emissions from Agricultural Soils </v>
      </c>
      <c r="C22" s="7" t="str">
        <f>IFERROR(__xludf.DUMMYFUNCTION("""COMPUTED_VALUE"""),"synthetic-fertilizer-application, manure-applied-to-soils, crop-residues, manure-left-on-pasture-cattle")</f>
        <v>synthetic-fertilizer-application, manure-applied-to-soils, crop-residues, manure-left-on-pasture-cattle</v>
      </c>
      <c r="D22" s="7" t="str">
        <f>IFERROR(__xludf.DUMMYFUNCTION("""COMPUTED_VALUE"""),"3.C.4 Direct N2O Emissions from managed soils, 3.C.5 Indirect N2O Emissions from managed soils")</f>
        <v>3.C.4 Direct N2O Emissions from managed soils, 3.C.5 Indirect N2O Emissions from managed soils</v>
      </c>
      <c r="E22" s="7">
        <f>IFERROR(__xludf.DUMMYFUNCTION("""COMPUTED_VALUE"""),4.0)</f>
        <v>4</v>
      </c>
      <c r="F22" s="7"/>
      <c r="G22" s="7"/>
      <c r="H22" s="7"/>
      <c r="I22" s="7"/>
      <c r="J22" s="7"/>
    </row>
    <row r="23" ht="15.75" customHeight="1">
      <c r="A23" s="7" t="str">
        <f>IFERROR(__xludf.DUMMYFUNCTION("""COMPUTED_VALUE"""),"Agriculture")</f>
        <v>Agriculture</v>
      </c>
      <c r="B23" s="7" t="str">
        <f>IFERROR(__xludf.DUMMYFUNCTION("""COMPUTED_VALUE"""),"Other Agriculture")</f>
        <v>Other Agriculture</v>
      </c>
      <c r="C23" s="7" t="str">
        <f>IFERROR(__xludf.DUMMYFUNCTION("""COMPUTED_VALUE"""),"other-agricultural-soil-emissions")</f>
        <v>other-agricultural-soil-emissions</v>
      </c>
      <c r="D23" s="7" t="str">
        <f>IFERROR(__xludf.DUMMYFUNCTION("""COMPUTED_VALUE"""),"3.C.2 Liming, 3.C.3 Urea application, 5.A Indirect N2O emissions from the atmospheric deposition of nitrogen in NOx and NH3")</f>
        <v>3.C.2 Liming, 3.C.3 Urea application, 5.A Indirect N2O emissions from the atmospheric deposition of nitrogen in NOx and NH3</v>
      </c>
      <c r="E23" s="7">
        <f>IFERROR(__xludf.DUMMYFUNCTION("""COMPUTED_VALUE"""),1.0)</f>
        <v>1</v>
      </c>
      <c r="F23" s="7"/>
      <c r="G23" s="7"/>
      <c r="H23" s="7"/>
      <c r="I23" s="7"/>
      <c r="J23" s="7"/>
    </row>
    <row r="24" ht="15.75" customHeight="1">
      <c r="A24" s="7" t="str">
        <f>IFERROR(__xludf.DUMMYFUNCTION("""COMPUTED_VALUE"""),"Fires")</f>
        <v>Fires</v>
      </c>
      <c r="B24" s="7" t="str">
        <f>IFERROR(__xludf.DUMMYFUNCTION("""COMPUTED_VALUE"""),"Biomass Burning")</f>
        <v>Biomass Burning</v>
      </c>
      <c r="C24" s="7" t="str">
        <f>IFERROR(__xludf.DUMMYFUNCTION("""COMPUTED_VALUE"""),"cropland-fires, forest-land-fires, shrubgrass-fires, wetland-fires")</f>
        <v>cropland-fires, forest-land-fires, shrubgrass-fires, wetland-fires</v>
      </c>
      <c r="D24" s="7" t="str">
        <f>IFERROR(__xludf.DUMMYFUNCTION("""COMPUTED_VALUE"""),"3.C.1 Emissions from biomass burning")</f>
        <v>3.C.1 Emissions from biomass burning</v>
      </c>
      <c r="E24" s="7">
        <f>IFERROR(__xludf.DUMMYFUNCTION("""COMPUTED_VALUE"""),4.0)</f>
        <v>4</v>
      </c>
      <c r="F24" s="7"/>
      <c r="G24" s="7"/>
      <c r="H24" s="7"/>
      <c r="I24" s="7"/>
      <c r="J24" s="7"/>
    </row>
    <row r="25" ht="15.75" customHeight="1">
      <c r="A25" s="7" t="str">
        <f>IFERROR(__xludf.DUMMYFUNCTION("""COMPUTED_VALUE"""),"Waste")</f>
        <v>Waste</v>
      </c>
      <c r="B25" s="7" t="str">
        <f>IFERROR(__xludf.DUMMYFUNCTION("""COMPUTED_VALUE"""),"Solid Waste Disposal")</f>
        <v>Solid Waste Disposal</v>
      </c>
      <c r="C25" s="7" t="str">
        <f>IFERROR(__xludf.DUMMYFUNCTION("""COMPUTED_VALUE"""),"solid-waste-disposal")</f>
        <v>solid-waste-disposal</v>
      </c>
      <c r="D25" s="7" t="str">
        <f>IFERROR(__xludf.DUMMYFUNCTION("""COMPUTED_VALUE"""),"4.A Solid Waste Disposal")</f>
        <v>4.A Solid Waste Disposal</v>
      </c>
      <c r="E25" s="7">
        <f>IFERROR(__xludf.DUMMYFUNCTION("""COMPUTED_VALUE"""),1.0)</f>
        <v>1</v>
      </c>
      <c r="F25" s="7"/>
      <c r="G25" s="7"/>
      <c r="H25" s="7"/>
      <c r="I25" s="7"/>
      <c r="J25" s="7"/>
    </row>
    <row r="26" ht="15.75" customHeight="1">
      <c r="A26" s="7" t="str">
        <f>IFERROR(__xludf.DUMMYFUNCTION("""COMPUTED_VALUE"""),"Waste")</f>
        <v>Waste</v>
      </c>
      <c r="B26" s="7" t="str">
        <f>IFERROR(__xludf.DUMMYFUNCTION("""COMPUTED_VALUE"""),"Biological Treatment of Solid Waste")</f>
        <v>Biological Treatment of Solid Waste</v>
      </c>
      <c r="C26" s="7" t="str">
        <f>IFERROR(__xludf.DUMMYFUNCTION("""COMPUTED_VALUE"""),"biological-treatment-of-solid-waste-and-biogenic")</f>
        <v>biological-treatment-of-solid-waste-and-biogenic</v>
      </c>
      <c r="D26" s="7" t="str">
        <f>IFERROR(__xludf.DUMMYFUNCTION("""COMPUTED_VALUE"""),"4.B Biological Treatment of Solid Waste")</f>
        <v>4.B Biological Treatment of Solid Waste</v>
      </c>
      <c r="E26" s="7">
        <f>IFERROR(__xludf.DUMMYFUNCTION("""COMPUTED_VALUE"""),1.0)</f>
        <v>1</v>
      </c>
      <c r="F26" s="7"/>
      <c r="G26" s="7"/>
      <c r="H26" s="7"/>
      <c r="I26" s="7"/>
      <c r="J26" s="7"/>
    </row>
    <row r="27" ht="15.75" customHeight="1">
      <c r="A27" s="7" t="str">
        <f>IFERROR(__xludf.DUMMYFUNCTION("""COMPUTED_VALUE"""),"Waste")</f>
        <v>Waste</v>
      </c>
      <c r="B27" s="7" t="str">
        <f>IFERROR(__xludf.DUMMYFUNCTION("""COMPUTED_VALUE"""),"Incineration and Open Burning of Waste")</f>
        <v>Incineration and Open Burning of Waste</v>
      </c>
      <c r="C27" s="7" t="str">
        <f>IFERROR(__xludf.DUMMYFUNCTION("""COMPUTED_VALUE"""),"incineration-and-open-burning-of-waste")</f>
        <v>incineration-and-open-burning-of-waste</v>
      </c>
      <c r="D27" s="7" t="str">
        <f>IFERROR(__xludf.DUMMYFUNCTION("""COMPUTED_VALUE"""),"4.C Incineration and Open Burning of Waste")</f>
        <v>4.C Incineration and Open Burning of Waste</v>
      </c>
      <c r="E27" s="7">
        <f>IFERROR(__xludf.DUMMYFUNCTION("""COMPUTED_VALUE"""),1.0)</f>
        <v>1</v>
      </c>
      <c r="F27" s="7"/>
      <c r="G27" s="7"/>
      <c r="H27" s="7"/>
      <c r="I27" s="7"/>
      <c r="J27" s="7"/>
    </row>
    <row r="28" ht="15.75" customHeight="1">
      <c r="A28" s="7" t="str">
        <f>IFERROR(__xludf.DUMMYFUNCTION("""COMPUTED_VALUE"""),"Waste")</f>
        <v>Waste</v>
      </c>
      <c r="B28" s="7" t="str">
        <f>IFERROR(__xludf.DUMMYFUNCTION("""COMPUTED_VALUE"""),"Wastewater Treatment and Discharge")</f>
        <v>Wastewater Treatment and Discharge</v>
      </c>
      <c r="C28" s="7" t="str">
        <f>IFERROR(__xludf.DUMMYFUNCTION("""COMPUTED_VALUE"""),"industrial-wastewater-treatment-and-discharge, domestic-wastewater-treatment-and-discharge")</f>
        <v>industrial-wastewater-treatment-and-discharge, domestic-wastewater-treatment-and-discharge</v>
      </c>
      <c r="D28" s="7" t="str">
        <f>IFERROR(__xludf.DUMMYFUNCTION("""COMPUTED_VALUE"""),"4.D Wastewater Treatment and Discharge")</f>
        <v>4.D Wastewater Treatment and Discharge</v>
      </c>
      <c r="E28" s="7">
        <f>IFERROR(__xludf.DUMMYFUNCTION("""COMPUTED_VALUE"""),2.0)</f>
        <v>2</v>
      </c>
      <c r="F28" s="7">
        <f>IFERROR(__xludf.DUMMYFUNCTION("""COMPUTED_VALUE"""),61.0)</f>
        <v>61</v>
      </c>
      <c r="G28" s="7"/>
      <c r="H28" s="7"/>
      <c r="I28" s="7"/>
      <c r="J28" s="7"/>
    </row>
    <row r="29" ht="15.75" customHeight="1">
      <c r="A29" s="7" t="str">
        <f>IFERROR(__xludf.DUMMYFUNCTION("""COMPUTED_VALUE"""),"Forestry and Land Use Change")</f>
        <v>Forestry and Land Use Change</v>
      </c>
      <c r="B29" s="7" t="str">
        <f>IFERROR(__xludf.DUMMYFUNCTION("""COMPUTED_VALUE"""),"Forestry and Land Use Change")</f>
        <v>Forestry and Land Use Change</v>
      </c>
      <c r="C29" s="7" t="str">
        <f>IFERROR(__xludf.DUMMYFUNCTION("""COMPUTED_VALUE"""),"forest-land-clearing, forest-land-degradation, removals, water-reservoirs")</f>
        <v>forest-land-clearing, forest-land-degradation, removals, water-reservoirs</v>
      </c>
      <c r="D29" s="7"/>
      <c r="E29" s="7"/>
      <c r="F29" s="7"/>
      <c r="G29" s="7"/>
      <c r="H29" s="7"/>
      <c r="I29" s="7"/>
      <c r="J29" s="7"/>
    </row>
    <row r="30" ht="15.75" customHeight="1">
      <c r="A30" s="7"/>
      <c r="B30" s="7"/>
      <c r="C30" s="7"/>
      <c r="D30" s="7"/>
      <c r="E30" s="7"/>
      <c r="F30" s="7"/>
      <c r="G30" s="7"/>
      <c r="H30" s="7"/>
      <c r="I30" s="7"/>
      <c r="J30" s="7"/>
    </row>
    <row r="31" ht="15.75" customHeight="1">
      <c r="A31" s="7"/>
      <c r="B31" s="7"/>
      <c r="C31" s="7"/>
      <c r="D31" s="7"/>
      <c r="E31" s="7"/>
      <c r="F31" s="7"/>
      <c r="G31" s="7"/>
      <c r="H31" s="7"/>
      <c r="I31" s="7"/>
      <c r="J31" s="7"/>
    </row>
    <row r="32" ht="15.75" customHeight="1">
      <c r="A32" s="7"/>
      <c r="B32" s="7"/>
      <c r="C32" s="7"/>
      <c r="D32" s="7"/>
      <c r="E32" s="7"/>
      <c r="F32" s="7"/>
      <c r="G32" s="7"/>
      <c r="H32" s="7"/>
      <c r="I32" s="7"/>
      <c r="J32" s="7"/>
    </row>
    <row r="33" ht="15.75" customHeight="1">
      <c r="A33" s="7"/>
      <c r="B33" s="7"/>
      <c r="C33" s="7"/>
      <c r="D33" s="7"/>
      <c r="E33" s="7"/>
      <c r="F33" s="7"/>
      <c r="G33" s="7"/>
      <c r="H33" s="7"/>
      <c r="I33" s="7"/>
      <c r="J33" s="7"/>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6" t="str">
        <f>IFERROR(__xludf.DUMMYFUNCTION("IMPORTRANGE(""https://docs.google.com/spreadsheets/d/1VvOGcBodrKNXu3BjZqF9bmJ342Ts6Alxj2RYSMAL658/edit#gid=0"", ""cait-analysis-util!A1:J200"")"),"Comparison Sector")</f>
        <v>Comparison Sector</v>
      </c>
      <c r="B1" s="7" t="str">
        <f>IFERROR(__xludf.DUMMYFUNCTION("""COMPUTED_VALUE"""),"Comparison Subsector")</f>
        <v>Comparison Subsector</v>
      </c>
      <c r="C1" s="7" t="str">
        <f>IFERROR(__xludf.DUMMYFUNCTION("""COMPUTED_VALUE"""),"Climate TRACE Sectors")</f>
        <v>Climate TRACE Sectors</v>
      </c>
      <c r="D1" s="7" t="str">
        <f>IFERROR(__xludf.DUMMYFUNCTION("""COMPUTED_VALUE"""),"CAIT Sectors")</f>
        <v>CAIT Sectors</v>
      </c>
      <c r="E1" s="7"/>
      <c r="F1" s="7"/>
      <c r="G1" s="7"/>
      <c r="H1" s="7"/>
      <c r="I1" s="7"/>
      <c r="J1" s="7"/>
    </row>
    <row r="2" ht="15.75" customHeight="1">
      <c r="A2" s="7" t="str">
        <f>IFERROR(__xludf.DUMMYFUNCTION("""COMPUTED_VALUE"""),"Energy Industries and Fugitive Emissions")</f>
        <v>Energy Industries and Fugitive Emissions</v>
      </c>
      <c r="B2" s="7" t="str">
        <f>IFERROR(__xludf.DUMMYFUNCTION("""COMPUTED_VALUE"""),"Energy Industries")</f>
        <v>Energy Industries</v>
      </c>
      <c r="C2" s="7" t="str">
        <f>IFERROR(__xludf.DUMMYFUNCTION("""COMPUTED_VALUE"""),"electricity-generation, heat-plants, other-energy-use, oil-and-gas-refining")</f>
        <v>electricity-generation, heat-plants, other-energy-use, oil-and-gas-refining</v>
      </c>
      <c r="D2" s="7" t="str">
        <f>IFERROR(__xludf.DUMMYFUNCTION("""COMPUTED_VALUE"""),"Electricity/Heat")</f>
        <v>Electricity/Heat</v>
      </c>
      <c r="E2" s="7"/>
      <c r="F2" s="7"/>
      <c r="G2" s="7"/>
      <c r="H2" s="7"/>
      <c r="I2" s="7"/>
      <c r="J2" s="7"/>
    </row>
    <row r="3" ht="15.75" customHeight="1">
      <c r="A3" s="7" t="str">
        <f>IFERROR(__xludf.DUMMYFUNCTION("""COMPUTED_VALUE"""),"Energy Industries and Fugitive Emissions")</f>
        <v>Energy Industries and Fugitive Emissions</v>
      </c>
      <c r="B3" s="7" t="str">
        <f>IFERROR(__xludf.DUMMYFUNCTION("""COMPUTED_VALUE"""),"Fossil Fuel Operations")</f>
        <v>Fossil Fuel Operations</v>
      </c>
      <c r="C3" s="7" t="str">
        <f>IFERROR(__xludf.DUMMYFUNCTION("""COMPUTED_VALUE"""),"coal-mining, other-solid-fuels, oil-and-gas-production, oil-and-gas-transport, other-fossil-fuel-operations")</f>
        <v>coal-mining, other-solid-fuels, oil-and-gas-production, oil-and-gas-transport, other-fossil-fuel-operations</v>
      </c>
      <c r="D3" s="7" t="str">
        <f>IFERROR(__xludf.DUMMYFUNCTION("""COMPUTED_VALUE"""),"Fugitive Emissions")</f>
        <v>Fugitive Emissions</v>
      </c>
      <c r="E3" s="7"/>
      <c r="F3" s="7"/>
      <c r="G3" s="7"/>
      <c r="H3" s="7"/>
      <c r="I3" s="7"/>
      <c r="J3" s="7"/>
    </row>
    <row r="4" ht="15.75" customHeight="1">
      <c r="A4" s="7" t="str">
        <f>IFERROR(__xludf.DUMMYFUNCTION("""COMPUTED_VALUE"""),"Buildings")</f>
        <v>Buildings</v>
      </c>
      <c r="B4" s="7" t="str">
        <f>IFERROR(__xludf.DUMMYFUNCTION("""COMPUTED_VALUE"""),"Buildings")</f>
        <v>Buildings</v>
      </c>
      <c r="C4" s="7" t="str">
        <f>IFERROR(__xludf.DUMMYFUNCTION("""COMPUTED_VALUE"""),"residential-onsite-fuel-usage, non-residential-onsite-fuel-usage, other-onsite-fuel-usage")</f>
        <v>residential-onsite-fuel-usage, non-residential-onsite-fuel-usage, other-onsite-fuel-usage</v>
      </c>
      <c r="D4" s="7" t="str">
        <f>IFERROR(__xludf.DUMMYFUNCTION("""COMPUTED_VALUE"""),"Building, Other Fuel Consumption")</f>
        <v>Building, Other Fuel Consumption</v>
      </c>
      <c r="E4" s="7"/>
      <c r="F4" s="7"/>
      <c r="G4" s="7"/>
      <c r="H4" s="7"/>
      <c r="I4" s="7"/>
      <c r="J4" s="7"/>
    </row>
    <row r="5" ht="15.75" customHeight="1">
      <c r="A5" s="7" t="str">
        <f>IFERROR(__xludf.DUMMYFUNCTION("""COMPUTED_VALUE"""),"Manufacturing and Industrial Processes")</f>
        <v>Manufacturing and Industrial Processes</v>
      </c>
      <c r="B5" s="7" t="str">
        <f>IFERROR(__xludf.DUMMYFUNCTION("""COMPUTED_VALUE"""),"Manufacturing and Industrial Processes")</f>
        <v>Manufacturing and Industrial Processes</v>
      </c>
      <c r="C5" s="7" t="str">
        <f>IFERROR(__xludf.DUMMYFUNCTION("""COMPUTED_VALUE"""),"petrochemical-steam-cracking, pulp-and-paper, food-beverage-tobacco, wood-and-wood-products, textiles-leather-apparel, sand-quarrying, rock-quarrying, bauxite-mining, iron-mining, copper-mining, other-manufacturing, steel, aluminum, other-metals, chemical"&amp;"s, other-chemicals, cement, lime, glass, fluorinated-gases, other-mining-quarrying")</f>
        <v>petrochemical-steam-cracking, pulp-and-paper, food-beverage-tobacco, wood-and-wood-products, textiles-leather-apparel, sand-quarrying, rock-quarrying, bauxite-mining, iron-mining, copper-mining, other-manufacturing, steel, aluminum, other-metals, chemicals, other-chemicals, cement, lime, glass, fluorinated-gases, other-mining-quarrying</v>
      </c>
      <c r="D5" s="7" t="str">
        <f>IFERROR(__xludf.DUMMYFUNCTION("""COMPUTED_VALUE"""),"Industrial Processes, Manufacturing/Construction")</f>
        <v>Industrial Processes, Manufacturing/Construction</v>
      </c>
      <c r="E5" s="7"/>
      <c r="F5" s="7"/>
      <c r="G5" s="7"/>
      <c r="H5" s="7"/>
      <c r="I5" s="7"/>
      <c r="J5" s="7"/>
    </row>
    <row r="6" ht="15.75" customHeight="1">
      <c r="A6" s="7" t="str">
        <f>IFERROR(__xludf.DUMMYFUNCTION("""COMPUTED_VALUE"""),"Transport")</f>
        <v>Transport</v>
      </c>
      <c r="B6" s="7" t="str">
        <f>IFERROR(__xludf.DUMMYFUNCTION("""COMPUTED_VALUE"""),"Domestic Transportation")</f>
        <v>Domestic Transportation</v>
      </c>
      <c r="C6" s="7" t="str">
        <f>IFERROR(__xludf.DUMMYFUNCTION("""COMPUTED_VALUE"""),"domestic-aviation, road-transportation, domestic-shipping, railways, other-transport")</f>
        <v>domestic-aviation, road-transportation, domestic-shipping, railways, other-transport</v>
      </c>
      <c r="D6" s="7" t="str">
        <f>IFERROR(__xludf.DUMMYFUNCTION("""COMPUTED_VALUE"""),"Transportation")</f>
        <v>Transportation</v>
      </c>
      <c r="E6" s="7"/>
      <c r="F6" s="7"/>
      <c r="G6" s="7"/>
      <c r="H6" s="7"/>
      <c r="I6" s="7"/>
      <c r="J6" s="7"/>
    </row>
    <row r="7" ht="15.75" customHeight="1">
      <c r="A7" s="7" t="str">
        <f>IFERROR(__xludf.DUMMYFUNCTION("""COMPUTED_VALUE"""),"Transport")</f>
        <v>Transport</v>
      </c>
      <c r="B7" s="7" t="str">
        <f>IFERROR(__xludf.DUMMYFUNCTION("""COMPUTED_VALUE"""),"Bunker Fuels")</f>
        <v>Bunker Fuels</v>
      </c>
      <c r="C7" s="7" t="str">
        <f>IFERROR(__xludf.DUMMYFUNCTION("""COMPUTED_VALUE"""),"international-aviation, international-shipping")</f>
        <v>international-aviation, international-shipping</v>
      </c>
      <c r="D7" s="7" t="str">
        <f>IFERROR(__xludf.DUMMYFUNCTION("""COMPUTED_VALUE"""),"Bunker Fuels")</f>
        <v>Bunker Fuels</v>
      </c>
      <c r="E7" s="7"/>
      <c r="F7" s="7"/>
      <c r="G7" s="7"/>
      <c r="H7" s="7"/>
      <c r="I7" s="7"/>
      <c r="J7" s="7"/>
    </row>
    <row r="8" ht="15.75" customHeight="1">
      <c r="A8" s="7" t="str">
        <f>IFERROR(__xludf.DUMMYFUNCTION("""COMPUTED_VALUE"""),"Agriculture")</f>
        <v>Agriculture</v>
      </c>
      <c r="B8" s="7" t="str">
        <f>IFERROR(__xludf.DUMMYFUNCTION("""COMPUTED_VALUE"""),"Agriculture")</f>
        <v>Agriculture</v>
      </c>
      <c r="C8" s="7" t="str">
        <f>IFERROR(__xludf.DUMMYFUNCTION("""COMPUTED_VALUE"""),"enteric-fermentation-cattle-operation, enteric-fermentation-cattle-pasture, enteric-fermentation-other, manure-left-on-pasture-cattle, manure-management-cattle-operation, manure-management-other, rice-cultivation, synthetic-fertilizer-application, croplan"&amp;"d-fires, crop-residues, manure-applied-to-soils, other-agricultural-soil-emissions")</f>
        <v>enteric-fermentation-cattle-operation, enteric-fermentation-cattle-pasture, enteric-fermentation-other, manure-left-on-pasture-cattle, manure-management-cattle-operation, manure-management-other, rice-cultivation, synthetic-fertilizer-application, cropland-fires, crop-residues, manure-applied-to-soils, other-agricultural-soil-emissions</v>
      </c>
      <c r="D8" s="7" t="str">
        <f>IFERROR(__xludf.DUMMYFUNCTION("""COMPUTED_VALUE"""),"Agriculture")</f>
        <v>Agriculture</v>
      </c>
      <c r="E8" s="7"/>
      <c r="F8" s="7"/>
      <c r="G8" s="7"/>
      <c r="H8" s="7"/>
      <c r="I8" s="7"/>
      <c r="J8" s="7"/>
    </row>
    <row r="9" ht="15.75" customHeight="1">
      <c r="A9" s="7" t="str">
        <f>IFERROR(__xludf.DUMMYFUNCTION("""COMPUTED_VALUE"""),"Waste")</f>
        <v>Waste</v>
      </c>
      <c r="B9" s="7" t="str">
        <f>IFERROR(__xludf.DUMMYFUNCTION("""COMPUTED_VALUE"""),"Solid Waste Disposal and Wastewater Treatment")</f>
        <v>Solid Waste Disposal and Wastewater Treatment</v>
      </c>
      <c r="C9" s="7" t="str">
        <f>IFERROR(__xludf.DUMMYFUNCTION("""COMPUTED_VALUE"""),"solid-waste-disposal, domestic-wastewater-treatment-and-discharge, industrial-wastewater-treatment-and-discharge")</f>
        <v>solid-waste-disposal, domestic-wastewater-treatment-and-discharge, industrial-wastewater-treatment-and-discharge</v>
      </c>
      <c r="D9" s="7" t="str">
        <f>IFERROR(__xludf.DUMMYFUNCTION("""COMPUTED_VALUE"""),"Waste")</f>
        <v>Waste</v>
      </c>
      <c r="E9" s="7"/>
      <c r="F9" s="7"/>
      <c r="G9" s="7"/>
      <c r="H9" s="7"/>
      <c r="I9" s="7"/>
      <c r="J9" s="7"/>
    </row>
    <row r="10" ht="15.75" customHeight="1">
      <c r="A10" s="7" t="str">
        <f>IFERROR(__xludf.DUMMYFUNCTION("""COMPUTED_VALUE"""),"Waste")</f>
        <v>Waste</v>
      </c>
      <c r="B10" s="7" t="str">
        <f>IFERROR(__xludf.DUMMYFUNCTION("""COMPUTED_VALUE"""),"Other Waste")</f>
        <v>Other Waste</v>
      </c>
      <c r="C10" s="7" t="str">
        <f>IFERROR(__xludf.DUMMYFUNCTION("""COMPUTED_VALUE"""),"biological-treatment-of-solid-waste-and-biogenic, incineration-and-open-burning-of-waste")</f>
        <v>biological-treatment-of-solid-waste-and-biogenic, incineration-and-open-burning-of-waste</v>
      </c>
      <c r="D10" s="7"/>
      <c r="E10" s="7"/>
      <c r="F10" s="7"/>
      <c r="G10" s="7"/>
      <c r="H10" s="7"/>
      <c r="I10" s="7"/>
      <c r="J10" s="7"/>
    </row>
    <row r="11" ht="15.75" customHeight="1">
      <c r="A11" s="7" t="str">
        <f>IFERROR(__xludf.DUMMYFUNCTION("""COMPUTED_VALUE"""),"Forestry and Land Use Change")</f>
        <v>Forestry and Land Use Change</v>
      </c>
      <c r="B11" s="7" t="str">
        <f>IFERROR(__xludf.DUMMYFUNCTION("""COMPUTED_VALUE"""),"Net Forest Land")</f>
        <v>Net Forest Land</v>
      </c>
      <c r="C11" s="7" t="str">
        <f>IFERROR(__xludf.DUMMYFUNCTION("""COMPUTED_VALUE"""),"net-forest-land")</f>
        <v>net-forest-land</v>
      </c>
      <c r="D11" s="7" t="str">
        <f>IFERROR(__xludf.DUMMYFUNCTION("""COMPUTED_VALUE"""),"Land-use Change and Forestry")</f>
        <v>Land-use Change and Forestry</v>
      </c>
      <c r="E11" s="7"/>
      <c r="F11" s="7"/>
      <c r="G11" s="7"/>
      <c r="H11" s="7"/>
      <c r="I11" s="7"/>
      <c r="J11" s="7"/>
    </row>
    <row r="12" ht="15.75" customHeight="1">
      <c r="A12" s="7" t="str">
        <f>IFERROR(__xludf.DUMMYFUNCTION("""COMPUTED_VALUE"""),"Forestry and Land Use Change")</f>
        <v>Forestry and Land Use Change</v>
      </c>
      <c r="B12" s="7" t="str">
        <f>IFERROR(__xludf.DUMMYFUNCTION("""COMPUTED_VALUE"""),"Net Other Land")</f>
        <v>Net Other Land</v>
      </c>
      <c r="C12" s="7" t="str">
        <f>IFERROR(__xludf.DUMMYFUNCTION("""COMPUTED_VALUE"""),"net-shrubgrass, net-wetland")</f>
        <v>net-shrubgrass, net-wetland</v>
      </c>
      <c r="D12" s="7"/>
      <c r="E12" s="7"/>
      <c r="F12" s="7"/>
      <c r="G12" s="7"/>
      <c r="H12" s="7"/>
      <c r="I12" s="7"/>
      <c r="J12" s="7"/>
    </row>
    <row r="13" ht="15.75" customHeight="1">
      <c r="A13" s="7"/>
      <c r="B13" s="7"/>
      <c r="C13" s="7"/>
      <c r="D13" s="7"/>
      <c r="E13" s="7"/>
      <c r="F13" s="7"/>
      <c r="G13" s="7"/>
      <c r="H13" s="7"/>
      <c r="I13" s="7"/>
      <c r="J13" s="7"/>
    </row>
    <row r="14" ht="15.75" customHeight="1">
      <c r="A14" s="7"/>
      <c r="B14" s="7"/>
      <c r="C14" s="7"/>
      <c r="D14" s="7"/>
      <c r="E14" s="7"/>
      <c r="F14" s="7"/>
      <c r="G14" s="7"/>
      <c r="H14" s="7"/>
      <c r="I14" s="7"/>
      <c r="J14" s="7"/>
    </row>
    <row r="15" ht="15.75" customHeight="1">
      <c r="A15" s="7"/>
      <c r="B15" s="7"/>
      <c r="C15" s="7"/>
      <c r="D15" s="7"/>
      <c r="E15" s="7"/>
      <c r="F15" s="7"/>
      <c r="G15" s="7"/>
      <c r="H15" s="7"/>
      <c r="I15" s="7"/>
      <c r="J15" s="7"/>
    </row>
    <row r="16" ht="15.75" customHeight="1">
      <c r="A16" s="7"/>
      <c r="B16" s="7"/>
      <c r="C16" s="7"/>
      <c r="D16" s="7"/>
      <c r="E16" s="7"/>
      <c r="F16" s="7"/>
      <c r="G16" s="7"/>
      <c r="H16" s="7"/>
      <c r="I16" s="7"/>
      <c r="J16" s="7"/>
    </row>
    <row r="17" ht="15.75" customHeight="1">
      <c r="A17" s="7"/>
      <c r="B17" s="7"/>
      <c r="C17" s="7"/>
      <c r="D17" s="7"/>
      <c r="E17" s="7"/>
      <c r="F17" s="7"/>
      <c r="G17" s="7"/>
      <c r="H17" s="7"/>
      <c r="I17" s="7"/>
      <c r="J17" s="7"/>
    </row>
    <row r="18" ht="15.75" customHeight="1">
      <c r="A18" s="7"/>
      <c r="B18" s="7"/>
      <c r="C18" s="7"/>
      <c r="D18" s="7"/>
      <c r="E18" s="7"/>
      <c r="F18" s="7"/>
      <c r="G18" s="7"/>
      <c r="H18" s="7"/>
      <c r="I18" s="7"/>
      <c r="J18" s="7"/>
    </row>
    <row r="19" ht="15.75" customHeight="1">
      <c r="A19" s="7"/>
      <c r="B19" s="7"/>
      <c r="C19" s="7"/>
      <c r="D19" s="7"/>
      <c r="E19" s="7"/>
      <c r="F19" s="7"/>
      <c r="G19" s="7"/>
      <c r="H19" s="7"/>
      <c r="I19" s="7"/>
      <c r="J19" s="7"/>
    </row>
    <row r="20" ht="15.75" customHeight="1">
      <c r="A20" s="7"/>
      <c r="B20" s="7"/>
      <c r="C20" s="7"/>
      <c r="D20" s="7"/>
      <c r="E20" s="7"/>
      <c r="F20" s="7"/>
      <c r="G20" s="7"/>
      <c r="H20" s="7"/>
      <c r="I20" s="7"/>
      <c r="J20" s="7"/>
    </row>
    <row r="21" ht="15.75" customHeight="1">
      <c r="A21" s="7"/>
      <c r="B21" s="7"/>
      <c r="C21" s="7"/>
      <c r="D21" s="7"/>
      <c r="E21" s="7"/>
      <c r="F21" s="7"/>
      <c r="G21" s="7"/>
      <c r="H21" s="7"/>
      <c r="I21" s="7"/>
      <c r="J21" s="7"/>
    </row>
    <row r="22" ht="15.75" customHeight="1">
      <c r="A22" s="7"/>
      <c r="B22" s="7"/>
      <c r="C22" s="7"/>
      <c r="D22" s="7"/>
      <c r="E22" s="7"/>
      <c r="F22" s="7"/>
      <c r="G22" s="7"/>
      <c r="H22" s="7"/>
      <c r="I22" s="7"/>
      <c r="J22" s="7"/>
    </row>
    <row r="23" ht="15.75" customHeight="1">
      <c r="A23" s="7"/>
      <c r="B23" s="7"/>
      <c r="C23" s="7"/>
      <c r="D23" s="7"/>
      <c r="E23" s="7"/>
      <c r="F23" s="7"/>
      <c r="G23" s="7"/>
      <c r="H23" s="7"/>
      <c r="I23" s="7"/>
      <c r="J23" s="7"/>
    </row>
    <row r="24" ht="15.75" customHeight="1">
      <c r="A24" s="7"/>
      <c r="B24" s="7"/>
      <c r="C24" s="7"/>
      <c r="D24" s="7"/>
      <c r="E24" s="7"/>
      <c r="F24" s="7"/>
      <c r="G24" s="7"/>
      <c r="H24" s="7"/>
      <c r="I24" s="7"/>
      <c r="J24" s="7"/>
    </row>
    <row r="25" ht="15.75" customHeight="1">
      <c r="A25" s="7"/>
      <c r="B25" s="7"/>
      <c r="C25" s="7"/>
      <c r="D25" s="7"/>
      <c r="E25" s="7"/>
      <c r="F25" s="7"/>
      <c r="G25" s="7"/>
      <c r="H25" s="7"/>
      <c r="I25" s="7"/>
      <c r="J25" s="7"/>
    </row>
    <row r="26" ht="15.75" customHeight="1">
      <c r="A26" s="7"/>
      <c r="B26" s="7"/>
      <c r="C26" s="7"/>
      <c r="D26" s="7"/>
      <c r="E26" s="7"/>
      <c r="F26" s="7"/>
      <c r="G26" s="7"/>
      <c r="H26" s="7"/>
      <c r="I26" s="7"/>
      <c r="J26" s="7"/>
    </row>
    <row r="27" ht="15.75" customHeight="1">
      <c r="A27" s="7"/>
      <c r="B27" s="7"/>
      <c r="C27" s="7"/>
      <c r="D27" s="7"/>
      <c r="E27" s="7"/>
      <c r="F27" s="7"/>
      <c r="G27" s="7"/>
      <c r="H27" s="7"/>
      <c r="I27" s="7"/>
      <c r="J27" s="7"/>
    </row>
    <row r="28" ht="15.75" customHeight="1">
      <c r="A28" s="7"/>
      <c r="B28" s="7"/>
      <c r="C28" s="7"/>
      <c r="D28" s="7"/>
      <c r="E28" s="7"/>
      <c r="F28" s="7"/>
      <c r="G28" s="7"/>
      <c r="H28" s="7"/>
      <c r="I28" s="7"/>
      <c r="J28" s="7"/>
    </row>
    <row r="29" ht="15.75" customHeight="1">
      <c r="A29" s="7"/>
      <c r="B29" s="7"/>
      <c r="C29" s="7"/>
      <c r="D29" s="7"/>
      <c r="E29" s="7"/>
      <c r="F29" s="7"/>
      <c r="G29" s="7"/>
      <c r="H29" s="7"/>
      <c r="I29" s="7"/>
      <c r="J29" s="7"/>
    </row>
    <row r="30" ht="15.75" customHeight="1">
      <c r="A30" s="7"/>
      <c r="B30" s="7"/>
      <c r="C30" s="7"/>
      <c r="D30" s="7"/>
      <c r="E30" s="7"/>
      <c r="F30" s="7"/>
      <c r="G30" s="7"/>
      <c r="H30" s="7"/>
      <c r="I30" s="7"/>
      <c r="J30" s="7"/>
    </row>
    <row r="31" ht="15.75" customHeight="1">
      <c r="A31" s="7"/>
      <c r="B31" s="7"/>
      <c r="C31" s="7"/>
      <c r="D31" s="7"/>
      <c r="E31" s="7"/>
      <c r="F31" s="7"/>
      <c r="G31" s="7"/>
      <c r="H31" s="7"/>
      <c r="I31" s="7"/>
      <c r="J31" s="7"/>
    </row>
    <row r="32" ht="15.75" customHeight="1">
      <c r="A32" s="7"/>
      <c r="B32" s="7"/>
      <c r="C32" s="7"/>
      <c r="D32" s="7"/>
      <c r="E32" s="7"/>
      <c r="F32" s="7"/>
      <c r="G32" s="7"/>
      <c r="H32" s="7"/>
      <c r="I32" s="7"/>
      <c r="J32" s="7"/>
    </row>
    <row r="33" ht="15.75" customHeight="1">
      <c r="A33" s="7"/>
      <c r="B33" s="7"/>
      <c r="C33" s="7"/>
      <c r="D33" s="7"/>
      <c r="E33" s="7"/>
      <c r="F33" s="7"/>
      <c r="G33" s="7"/>
      <c r="H33" s="7"/>
      <c r="I33" s="7"/>
      <c r="J33" s="7"/>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tr">
        <f>IFERROR(__xludf.DUMMYFUNCTION("IMPORTRANGE(""https://docs.google.com/spreadsheets/d/1VvOGcBodrKNXu3BjZqF9bmJ342Ts6Alxj2RYSMAL658/edit#gid=0"", ""pik-tp-analysis-util!A1:J200"")"),"Comparison Sector")</f>
        <v>Comparison Sector</v>
      </c>
      <c r="B1" s="7" t="str">
        <f>IFERROR(__xludf.DUMMYFUNCTION("""COMPUTED_VALUE"""),"Comparison Subsector")</f>
        <v>Comparison Subsector</v>
      </c>
      <c r="C1" s="7" t="str">
        <f>IFERROR(__xludf.DUMMYFUNCTION("""COMPUTED_VALUE"""),"Climate TRACE Sectors")</f>
        <v>Climate TRACE Sectors</v>
      </c>
      <c r="D1" s="7" t="str">
        <f>IFERROR(__xludf.DUMMYFUNCTION("""COMPUTED_VALUE"""),"PIK Sectors")</f>
        <v>PIK Sectors</v>
      </c>
      <c r="E1" s="7"/>
      <c r="F1" s="7"/>
      <c r="G1" s="7"/>
      <c r="H1" s="7"/>
      <c r="I1" s="7"/>
      <c r="J1" s="7"/>
    </row>
    <row r="2" ht="15.75" customHeight="1">
      <c r="A2" s="7" t="str">
        <f>IFERROR(__xludf.DUMMYFUNCTION("""COMPUTED_VALUE"""),"Energy Industries, Fugitive Emissions, Buildings, and Transport")</f>
        <v>Energy Industries, Fugitive Emissions, Buildings, and Transport</v>
      </c>
      <c r="B2" s="7" t="str">
        <f>IFERROR(__xludf.DUMMYFUNCTION("""COMPUTED_VALUE"""),"Energy Industries, Buildings, and Domestic Transportation")</f>
        <v>Energy Industries, Buildings, and Domestic Transportation</v>
      </c>
      <c r="C2" s="7" t="str">
        <f>IFERROR(__xludf.DUMMYFUNCTION("""COMPUTED_VALUE"""),"electricity-generation, other-energy-use, oil-and-gas-refining, residential-onsite-fuel-usage, non-residential-onsite-fuel-usage, other-onsite-fuel-usage, domestic-aviation, domestic-shipping, road-transportation, railways, other-transport")</f>
        <v>electricity-generation, other-energy-use, oil-and-gas-refining, residential-onsite-fuel-usage, non-residential-onsite-fuel-usage, other-onsite-fuel-usage, domestic-aviation, domestic-shipping, road-transportation, railways, other-transport</v>
      </c>
      <c r="D2" s="7" t="str">
        <f>IFERROR(__xludf.DUMMYFUNCTION("""COMPUTED_VALUE"""),"1.A")</f>
        <v>1.A</v>
      </c>
      <c r="E2" s="7"/>
      <c r="F2" s="7"/>
      <c r="G2" s="7"/>
      <c r="H2" s="7"/>
      <c r="I2" s="7"/>
      <c r="J2" s="7"/>
    </row>
    <row r="3" ht="15.75" customHeight="1">
      <c r="A3" s="7" t="str">
        <f>IFERROR(__xludf.DUMMYFUNCTION("""COMPUTED_VALUE"""),"Energy Industries, Fugitive Emissions, Buildings, and Transport")</f>
        <v>Energy Industries, Fugitive Emissions, Buildings, and Transport</v>
      </c>
      <c r="B3" s="7" t="str">
        <f>IFERROR(__xludf.DUMMYFUNCTION("""COMPUTED_VALUE"""),"International Transportation")</f>
        <v>International Transportation</v>
      </c>
      <c r="C3" s="7" t="str">
        <f>IFERROR(__xludf.DUMMYFUNCTION("""COMPUTED_VALUE"""),"international-shipping, international-aviation")</f>
        <v>international-shipping, international-aviation</v>
      </c>
      <c r="D3" s="7"/>
      <c r="E3" s="7"/>
      <c r="F3" s="7"/>
      <c r="G3" s="7"/>
      <c r="H3" s="7"/>
      <c r="I3" s="7"/>
      <c r="J3" s="7"/>
    </row>
    <row r="4" ht="15.75" customHeight="1">
      <c r="A4" s="7" t="str">
        <f>IFERROR(__xludf.DUMMYFUNCTION("""COMPUTED_VALUE"""),"Energy Industries, Fugitive Emissions, Buildings, and Transport")</f>
        <v>Energy Industries, Fugitive Emissions, Buildings, and Transport</v>
      </c>
      <c r="B4" s="7" t="str">
        <f>IFERROR(__xludf.DUMMYFUNCTION("""COMPUTED_VALUE"""),"Fossil Fuel Operations")</f>
        <v>Fossil Fuel Operations</v>
      </c>
      <c r="C4" s="7" t="str">
        <f>IFERROR(__xludf.DUMMYFUNCTION("""COMPUTED_VALUE"""),"coal-mining, other-solid-fuels, oil-and-gas-production, oil-and-gas-transport, other-fossil-fuel-operations")</f>
        <v>coal-mining, other-solid-fuels, oil-and-gas-production, oil-and-gas-transport, other-fossil-fuel-operations</v>
      </c>
      <c r="D4" s="7" t="str">
        <f>IFERROR(__xludf.DUMMYFUNCTION("""COMPUTED_VALUE"""),"1.B")</f>
        <v>1.B</v>
      </c>
      <c r="E4" s="7"/>
      <c r="F4" s="7"/>
      <c r="G4" s="7"/>
      <c r="H4" s="7"/>
      <c r="I4" s="7"/>
      <c r="J4" s="7"/>
    </row>
    <row r="5" ht="15.75" customHeight="1">
      <c r="A5" s="7" t="str">
        <f>IFERROR(__xludf.DUMMYFUNCTION("""COMPUTED_VALUE"""),"Energy Industries, Fugitive Emissions, Buildings, and Transport")</f>
        <v>Energy Industries, Fugitive Emissions, Buildings, and Transport</v>
      </c>
      <c r="B5" s="7" t="str">
        <f>IFERROR(__xludf.DUMMYFUNCTION("""COMPUTED_VALUE"""),"Coal Mining and Solid Fuel Transformation")</f>
        <v>Coal Mining and Solid Fuel Transformation</v>
      </c>
      <c r="C5" s="7" t="str">
        <f>IFERROR(__xludf.DUMMYFUNCTION("""COMPUTED_VALUE"""),"coal-mining, other-solid-fuels")</f>
        <v>coal-mining, other-solid-fuels</v>
      </c>
      <c r="D5" s="7" t="str">
        <f>IFERROR(__xludf.DUMMYFUNCTION("""COMPUTED_VALUE"""),"1.B.1")</f>
        <v>1.B.1</v>
      </c>
      <c r="E5" s="7"/>
      <c r="F5" s="7"/>
      <c r="G5" s="7"/>
      <c r="H5" s="7"/>
      <c r="I5" s="7"/>
      <c r="J5" s="7"/>
    </row>
    <row r="6" ht="15.75" customHeight="1">
      <c r="A6" s="7" t="str">
        <f>IFERROR(__xludf.DUMMYFUNCTION("""COMPUTED_VALUE"""),"Energy Industries, Fugitive Emissions, Buildings, and Transport")</f>
        <v>Energy Industries, Fugitive Emissions, Buildings, and Transport</v>
      </c>
      <c r="B6" s="7" t="str">
        <f>IFERROR(__xludf.DUMMYFUNCTION("""COMPUTED_VALUE"""),"Oil and Gas Production and Transport")</f>
        <v>Oil and Gas Production and Transport</v>
      </c>
      <c r="C6" s="7" t="str">
        <f>IFERROR(__xludf.DUMMYFUNCTION("""COMPUTED_VALUE"""),"oil-and-gas-production, oil-and-gas-transport,")</f>
        <v>oil-and-gas-production, oil-and-gas-transport,</v>
      </c>
      <c r="D6" s="7" t="str">
        <f>IFERROR(__xludf.DUMMYFUNCTION("""COMPUTED_VALUE"""),"1.B.2")</f>
        <v>1.B.2</v>
      </c>
      <c r="E6" s="7"/>
      <c r="F6" s="7"/>
      <c r="G6" s="7"/>
      <c r="H6" s="7"/>
      <c r="I6" s="7"/>
      <c r="J6" s="7"/>
    </row>
    <row r="7" ht="15.75" customHeight="1">
      <c r="A7" s="7" t="str">
        <f>IFERROR(__xludf.DUMMYFUNCTION("""COMPUTED_VALUE"""),"Energy Industries, Fugitive Emissions, Buildings, and Transport")</f>
        <v>Energy Industries, Fugitive Emissions, Buildings, and Transport</v>
      </c>
      <c r="B7" s="7" t="str">
        <f>IFERROR(__xludf.DUMMYFUNCTION("""COMPUTED_VALUE"""),"Other Fossil Fuel Operations")</f>
        <v>Other Fossil Fuel Operations</v>
      </c>
      <c r="C7" s="7" t="str">
        <f>IFERROR(__xludf.DUMMYFUNCTION("""COMPUTED_VALUE"""),"other-fossil-fuel-operations")</f>
        <v>other-fossil-fuel-operations</v>
      </c>
      <c r="D7" s="7" t="str">
        <f>IFERROR(__xludf.DUMMYFUNCTION("""COMPUTED_VALUE"""),"1.B.3, 1.C")</f>
        <v>1.B.3, 1.C</v>
      </c>
      <c r="E7" s="7"/>
      <c r="F7" s="7"/>
      <c r="G7" s="7"/>
      <c r="H7" s="7"/>
      <c r="I7" s="7"/>
      <c r="J7" s="7"/>
    </row>
    <row r="8" ht="15.75" customHeight="1">
      <c r="A8" s="7" t="str">
        <f>IFERROR(__xludf.DUMMYFUNCTION("""COMPUTED_VALUE"""),"Manufacturing and Industrial Processes")</f>
        <v>Manufacturing and Industrial Processes</v>
      </c>
      <c r="B8" s="7" t="str">
        <f>IFERROR(__xludf.DUMMYFUNCTION("""COMPUTED_VALUE"""),"Manufacturing and Industrial Processes")</f>
        <v>Manufacturing and Industrial Processes</v>
      </c>
      <c r="C8" s="7" t="str">
        <f>IFERROR(__xludf.DUMMYFUNCTION("""COMPUTED_VALUE"""),"cement, chemicals, steel, aluminum, fluorinated-gases, petrochemicals, pulp-and-paper, sand-quarrying, rock-quarrying, bauxite-mining, iron-mining, copper-mining, other-manufacturing")</f>
        <v>cement, chemicals, steel, aluminum, fluorinated-gases, petrochemicals, pulp-and-paper, sand-quarrying, rock-quarrying, bauxite-mining, iron-mining, copper-mining, other-manufacturing</v>
      </c>
      <c r="D8" s="7" t="str">
        <f>IFERROR(__xludf.DUMMYFUNCTION("""COMPUTED_VALUE"""),"2.A, 2.B, 2.C, 2.D, 2.E, 2.F, 2.G, 2.H")</f>
        <v>2.A, 2.B, 2.C, 2.D, 2.E, 2.F, 2.G, 2.H</v>
      </c>
      <c r="E8" s="7"/>
      <c r="F8" s="7"/>
      <c r="G8" s="7"/>
      <c r="H8" s="7"/>
      <c r="I8" s="7"/>
      <c r="J8" s="7"/>
    </row>
    <row r="9" ht="15.75" customHeight="1">
      <c r="A9" s="7" t="str">
        <f>IFERROR(__xludf.DUMMYFUNCTION("""COMPUTED_VALUE"""),"Agriculture")</f>
        <v>Agriculture</v>
      </c>
      <c r="B9" s="7" t="str">
        <f>IFERROR(__xludf.DUMMYFUNCTION("""COMPUTED_VALUE"""),"Livestock")</f>
        <v>Livestock</v>
      </c>
      <c r="C9" s="7" t="str">
        <f>IFERROR(__xludf.DUMMYFUNCTION("""COMPUTED_VALUE"""),"enteric-fermentation-cattle-feedlot, enteric-fermentation-cattle-pasture, enteric-fermentation-other, manure-left-on-pasture-cattle, manure-management-cattle-feedlot, manure-management-other")</f>
        <v>enteric-fermentation-cattle-feedlot, enteric-fermentation-cattle-pasture, enteric-fermentation-other, manure-left-on-pasture-cattle, manure-management-cattle-feedlot, manure-management-other</v>
      </c>
      <c r="D9" s="7" t="str">
        <f>IFERROR(__xludf.DUMMYFUNCTION("""COMPUTED_VALUE"""),"3.A")</f>
        <v>3.A</v>
      </c>
      <c r="E9" s="7"/>
      <c r="F9" s="7"/>
      <c r="G9" s="7"/>
      <c r="H9" s="7"/>
      <c r="I9" s="7"/>
      <c r="J9" s="7"/>
    </row>
    <row r="10" ht="15.75" customHeight="1">
      <c r="A10" s="7" t="str">
        <f>IFERROR(__xludf.DUMMYFUNCTION("""COMPUTED_VALUE"""),"Agriculture")</f>
        <v>Agriculture</v>
      </c>
      <c r="B10" s="7" t="str">
        <f>IFERROR(__xludf.DUMMYFUNCTION("""COMPUTED_VALUE"""),"Agriculture Excluding Livestock")</f>
        <v>Agriculture Excluding Livestock</v>
      </c>
      <c r="C10" s="7" t="str">
        <f>IFERROR(__xludf.DUMMYFUNCTION("""COMPUTED_VALUE"""),"rice-cultivation, synthetic-fertilizer-application, cropland-fires, crop-residues, manure-applied-to-soils, soil-organic-carbon, other-agricultural-soil-emissions")</f>
        <v>rice-cultivation, synthetic-fertilizer-application, cropland-fires, crop-residues, manure-applied-to-soils, soil-organic-carbon, other-agricultural-soil-emissions</v>
      </c>
      <c r="D10" s="7" t="str">
        <f>IFERROR(__xludf.DUMMYFUNCTION("""COMPUTED_VALUE"""),"M.AG.ELV")</f>
        <v>M.AG.ELV</v>
      </c>
      <c r="E10" s="7"/>
      <c r="F10" s="7"/>
      <c r="G10" s="7"/>
      <c r="H10" s="7"/>
      <c r="I10" s="7"/>
      <c r="J10" s="7"/>
    </row>
    <row r="11" ht="15.75" customHeight="1">
      <c r="A11" s="7" t="str">
        <f>IFERROR(__xludf.DUMMYFUNCTION("""COMPUTED_VALUE"""),"Waste")</f>
        <v>Waste</v>
      </c>
      <c r="B11" s="7" t="str">
        <f>IFERROR(__xludf.DUMMYFUNCTION("""COMPUTED_VALUE"""),"Waste")</f>
        <v>Waste</v>
      </c>
      <c r="C11" s="7" t="str">
        <f>IFERROR(__xludf.DUMMYFUNCTION("""COMPUTED_VALUE"""),"solid-waste-disposal, biological-treatment-of-solid-waste-and-biogenic, incineration-and-open-burning-of-waste,  domestic-wastewater-treatment-and-discharge, industrial-wastewater-treatment-and-discharge")</f>
        <v>solid-waste-disposal, biological-treatment-of-solid-waste-and-biogenic, incineration-and-open-burning-of-waste,  domestic-wastewater-treatment-and-discharge, industrial-wastewater-treatment-and-discharge</v>
      </c>
      <c r="D11" s="7">
        <f>IFERROR(__xludf.DUMMYFUNCTION("""COMPUTED_VALUE"""),4.0)</f>
        <v>4</v>
      </c>
      <c r="E11" s="7"/>
      <c r="F11" s="7"/>
      <c r="G11" s="7"/>
      <c r="H11" s="7"/>
      <c r="I11" s="7"/>
      <c r="J11" s="7"/>
    </row>
    <row r="12" ht="15.75" customHeight="1">
      <c r="A12" s="7" t="str">
        <f>IFERROR(__xludf.DUMMYFUNCTION("""COMPUTED_VALUE"""),"Other")</f>
        <v>Other</v>
      </c>
      <c r="B12" s="7"/>
      <c r="C12" s="7"/>
      <c r="D12" s="7">
        <f>IFERROR(__xludf.DUMMYFUNCTION("""COMPUTED_VALUE"""),5.0)</f>
        <v>5</v>
      </c>
      <c r="E12" s="7"/>
      <c r="F12" s="7"/>
      <c r="G12" s="7"/>
      <c r="H12" s="7"/>
      <c r="I12" s="7"/>
      <c r="J12" s="7"/>
    </row>
    <row r="13" ht="15.75" customHeight="1">
      <c r="A13" s="7"/>
      <c r="B13" s="7"/>
      <c r="C13" s="7"/>
      <c r="D13" s="7"/>
      <c r="E13" s="7"/>
      <c r="F13" s="7"/>
      <c r="G13" s="7"/>
      <c r="H13" s="7"/>
      <c r="I13" s="7"/>
      <c r="J13" s="7"/>
    </row>
    <row r="14" ht="15.75" customHeight="1">
      <c r="A14" s="7"/>
      <c r="B14" s="7"/>
      <c r="C14" s="7"/>
      <c r="D14" s="7"/>
      <c r="E14" s="7"/>
      <c r="F14" s="7"/>
      <c r="G14" s="7"/>
      <c r="H14" s="7"/>
      <c r="I14" s="7"/>
      <c r="J14" s="7"/>
    </row>
    <row r="15" ht="15.75" customHeight="1">
      <c r="A15" s="7"/>
      <c r="B15" s="7"/>
      <c r="C15" s="7"/>
      <c r="D15" s="7"/>
      <c r="E15" s="7"/>
      <c r="F15" s="7"/>
      <c r="G15" s="7"/>
      <c r="H15" s="7"/>
      <c r="I15" s="7"/>
      <c r="J15" s="7"/>
    </row>
    <row r="16" ht="15.75" customHeight="1">
      <c r="A16" s="7"/>
      <c r="B16" s="7"/>
      <c r="C16" s="7"/>
      <c r="D16" s="7"/>
      <c r="E16" s="7"/>
      <c r="F16" s="7"/>
      <c r="G16" s="7"/>
      <c r="H16" s="7"/>
      <c r="I16" s="7"/>
      <c r="J16" s="7"/>
    </row>
    <row r="17" ht="15.75" customHeight="1">
      <c r="A17" s="7"/>
      <c r="B17" s="7"/>
      <c r="C17" s="7"/>
      <c r="D17" s="7"/>
      <c r="E17" s="7"/>
      <c r="F17" s="7"/>
      <c r="G17" s="7"/>
      <c r="H17" s="7"/>
      <c r="I17" s="7"/>
      <c r="J17" s="7"/>
    </row>
    <row r="18" ht="15.75" customHeight="1">
      <c r="A18" s="7"/>
      <c r="B18" s="7"/>
      <c r="C18" s="7"/>
      <c r="D18" s="7"/>
      <c r="E18" s="7"/>
      <c r="F18" s="7"/>
      <c r="G18" s="7"/>
      <c r="H18" s="7"/>
      <c r="I18" s="7"/>
      <c r="J18" s="7"/>
    </row>
    <row r="19" ht="15.75" customHeight="1">
      <c r="A19" s="7"/>
      <c r="B19" s="7"/>
      <c r="C19" s="7"/>
      <c r="D19" s="7"/>
      <c r="E19" s="7"/>
      <c r="F19" s="7"/>
      <c r="G19" s="7"/>
      <c r="H19" s="7"/>
      <c r="I19" s="7"/>
      <c r="J19" s="7"/>
    </row>
    <row r="20" ht="15.75" customHeight="1">
      <c r="A20" s="7"/>
      <c r="B20" s="7"/>
      <c r="C20" s="7"/>
      <c r="D20" s="7"/>
      <c r="E20" s="7"/>
      <c r="F20" s="7"/>
      <c r="G20" s="7"/>
      <c r="H20" s="7"/>
      <c r="I20" s="7"/>
      <c r="J20" s="7"/>
    </row>
    <row r="21" ht="15.75" customHeight="1">
      <c r="A21" s="7"/>
      <c r="B21" s="7"/>
      <c r="C21" s="7"/>
      <c r="D21" s="7"/>
      <c r="E21" s="7"/>
      <c r="F21" s="7"/>
      <c r="G21" s="7"/>
      <c r="H21" s="7"/>
      <c r="I21" s="7"/>
      <c r="J21" s="7"/>
    </row>
    <row r="22" ht="15.75" customHeight="1">
      <c r="A22" s="7"/>
      <c r="B22" s="7"/>
      <c r="C22" s="7"/>
      <c r="D22" s="7"/>
      <c r="E22" s="7"/>
      <c r="F22" s="7"/>
      <c r="G22" s="7"/>
      <c r="H22" s="7"/>
      <c r="I22" s="7"/>
      <c r="J22" s="7"/>
    </row>
    <row r="23" ht="15.75" customHeight="1">
      <c r="A23" s="7"/>
      <c r="B23" s="7"/>
      <c r="C23" s="7"/>
      <c r="D23" s="7"/>
      <c r="E23" s="7"/>
      <c r="F23" s="7"/>
      <c r="G23" s="7"/>
      <c r="H23" s="7"/>
      <c r="I23" s="7"/>
      <c r="J23" s="7"/>
    </row>
    <row r="24" ht="15.75" customHeight="1">
      <c r="A24" s="7"/>
      <c r="B24" s="7"/>
      <c r="C24" s="7"/>
      <c r="D24" s="7"/>
      <c r="E24" s="7"/>
      <c r="F24" s="7"/>
      <c r="G24" s="7"/>
      <c r="H24" s="7"/>
      <c r="I24" s="7"/>
      <c r="J24" s="7"/>
    </row>
    <row r="25" ht="15.75" customHeight="1">
      <c r="A25" s="7"/>
      <c r="B25" s="7"/>
      <c r="C25" s="7"/>
      <c r="D25" s="7"/>
      <c r="E25" s="7"/>
      <c r="F25" s="7"/>
      <c r="G25" s="7"/>
      <c r="H25" s="7"/>
      <c r="I25" s="7"/>
      <c r="J25" s="7"/>
    </row>
    <row r="26" ht="15.75" customHeight="1">
      <c r="A26" s="7"/>
      <c r="B26" s="7"/>
      <c r="C26" s="7"/>
      <c r="D26" s="7"/>
      <c r="E26" s="7"/>
      <c r="F26" s="7"/>
      <c r="G26" s="7"/>
      <c r="H26" s="7"/>
      <c r="I26" s="7"/>
      <c r="J26" s="7"/>
    </row>
    <row r="27" ht="15.75" customHeight="1">
      <c r="A27" s="7"/>
      <c r="B27" s="7"/>
      <c r="C27" s="7"/>
      <c r="D27" s="7"/>
      <c r="E27" s="7"/>
      <c r="F27" s="7"/>
      <c r="G27" s="7"/>
      <c r="H27" s="7"/>
      <c r="I27" s="7"/>
      <c r="J27" s="7"/>
    </row>
    <row r="28" ht="15.75" customHeight="1">
      <c r="A28" s="7"/>
      <c r="B28" s="7"/>
      <c r="C28" s="7"/>
      <c r="D28" s="7"/>
      <c r="E28" s="7"/>
      <c r="F28" s="7"/>
      <c r="G28" s="7"/>
      <c r="H28" s="7"/>
      <c r="I28" s="7"/>
      <c r="J28" s="7"/>
    </row>
    <row r="29" ht="15.75" customHeight="1">
      <c r="A29" s="7"/>
      <c r="B29" s="7"/>
      <c r="C29" s="7"/>
      <c r="D29" s="7"/>
      <c r="E29" s="7"/>
      <c r="F29" s="7"/>
      <c r="G29" s="7"/>
      <c r="H29" s="7"/>
      <c r="I29" s="7"/>
      <c r="J29" s="7"/>
    </row>
    <row r="30" ht="15.75" customHeight="1">
      <c r="A30" s="7"/>
      <c r="B30" s="7"/>
      <c r="C30" s="7"/>
      <c r="D30" s="7"/>
      <c r="E30" s="7"/>
      <c r="F30" s="7"/>
      <c r="G30" s="7"/>
      <c r="H30" s="7"/>
      <c r="I30" s="7"/>
      <c r="J30" s="7"/>
    </row>
    <row r="31" ht="15.75" customHeight="1">
      <c r="A31" s="7"/>
      <c r="B31" s="7"/>
      <c r="C31" s="7"/>
      <c r="D31" s="7"/>
      <c r="E31" s="7"/>
      <c r="F31" s="7"/>
      <c r="G31" s="7"/>
      <c r="H31" s="7"/>
      <c r="I31" s="7"/>
      <c r="J31" s="7"/>
    </row>
    <row r="32" ht="15.75" customHeight="1">
      <c r="A32" s="7"/>
      <c r="B32" s="7"/>
      <c r="C32" s="7"/>
      <c r="D32" s="7"/>
      <c r="E32" s="7"/>
      <c r="F32" s="7"/>
      <c r="G32" s="7"/>
      <c r="H32" s="7"/>
      <c r="I32" s="7"/>
      <c r="J32" s="7"/>
    </row>
    <row r="33" ht="15.75" customHeight="1">
      <c r="A33" s="7"/>
      <c r="B33" s="7"/>
      <c r="C33" s="7"/>
      <c r="D33" s="7"/>
      <c r="E33" s="7"/>
      <c r="F33" s="7"/>
      <c r="G33" s="7"/>
      <c r="H33" s="7"/>
      <c r="I33" s="7"/>
      <c r="J33" s="7"/>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tr">
        <f>IFERROR(__xludf.DUMMYFUNCTION("IMPORTRANGE(""https://docs.google.com/spreadsheets/d/1VvOGcBodrKNXu3BjZqF9bmJ342Ts6Alxj2RYSMAL658/edit#gid=0"", ""faostat-analysis-utility!A1:J200"")"),"Comparison Sector")</f>
        <v>Comparison Sector</v>
      </c>
      <c r="B1" s="7" t="str">
        <f>IFERROR(__xludf.DUMMYFUNCTION("""COMPUTED_VALUE"""),"Comparison Subsector")</f>
        <v>Comparison Subsector</v>
      </c>
      <c r="C1" s="7" t="str">
        <f>IFERROR(__xludf.DUMMYFUNCTION("""COMPUTED_VALUE"""),"Climate TRACE Sectors")</f>
        <v>Climate TRACE Sectors</v>
      </c>
      <c r="D1" s="7" t="str">
        <f>IFERROR(__xludf.DUMMYFUNCTION("""COMPUTED_VALUE"""),"FAOSTAT Sectors")</f>
        <v>FAOSTAT Sectors</v>
      </c>
      <c r="E1" s="7"/>
      <c r="F1" s="7"/>
      <c r="G1" s="7"/>
      <c r="H1" s="7"/>
      <c r="I1" s="7"/>
      <c r="J1" s="7"/>
    </row>
    <row r="2" ht="15.75" customHeight="1">
      <c r="A2" s="7" t="str">
        <f>IFERROR(__xludf.DUMMYFUNCTION("""COMPUTED_VALUE"""),"Agriculture")</f>
        <v>Agriculture</v>
      </c>
      <c r="B2" s="7" t="str">
        <f>IFERROR(__xludf.DUMMYFUNCTION("""COMPUTED_VALUE"""),"Other Agricultural Soil Emissions")</f>
        <v>Other Agricultural Soil Emissions</v>
      </c>
      <c r="C2" s="7" t="str">
        <f>IFERROR(__xludf.DUMMYFUNCTION("""COMPUTED_VALUE"""),"other-agricultural-soil-emissions, soil-organic-carbon")</f>
        <v>other-agricultural-soil-emissions, soil-organic-carbon</v>
      </c>
      <c r="D2" s="7" t="str">
        <f>IFERROR(__xludf.DUMMYFUNCTION("""COMPUTED_VALUE""")," Drained organic soils (CO2), Drained organic soils (N2O), ")</f>
        <v> Drained organic soils (CO2), Drained organic soils (N2O), </v>
      </c>
      <c r="E2" s="7"/>
      <c r="F2" s="7"/>
      <c r="G2" s="7"/>
      <c r="H2" s="7"/>
      <c r="I2" s="7"/>
      <c r="J2" s="7"/>
    </row>
    <row r="3" ht="15.75" customHeight="1">
      <c r="A3" s="7" t="str">
        <f>IFERROR(__xludf.DUMMYFUNCTION("""COMPUTED_VALUE"""),"Agriculture")</f>
        <v>Agriculture</v>
      </c>
      <c r="B3" s="7" t="str">
        <f>IFERROR(__xludf.DUMMYFUNCTION("""COMPUTED_VALUE"""),"Crop Residues")</f>
        <v>Crop Residues</v>
      </c>
      <c r="C3" s="7" t="str">
        <f>IFERROR(__xludf.DUMMYFUNCTION("""COMPUTED_VALUE"""),"crop-residues")</f>
        <v>crop-residues</v>
      </c>
      <c r="D3" s="7" t="str">
        <f>IFERROR(__xludf.DUMMYFUNCTION("""COMPUTED_VALUE"""),"Crop Residues")</f>
        <v>Crop Residues</v>
      </c>
      <c r="E3" s="7"/>
      <c r="F3" s="7"/>
      <c r="G3" s="7"/>
      <c r="H3" s="7"/>
      <c r="I3" s="7"/>
      <c r="J3" s="7"/>
    </row>
    <row r="4" ht="15.75" customHeight="1">
      <c r="A4" s="7" t="str">
        <f>IFERROR(__xludf.DUMMYFUNCTION("""COMPUTED_VALUE"""),"Agriculture")</f>
        <v>Agriculture</v>
      </c>
      <c r="B4" s="7" t="str">
        <f>IFERROR(__xludf.DUMMYFUNCTION("""COMPUTED_VALUE"""),"Manure Applied to Soils")</f>
        <v>Manure Applied to Soils</v>
      </c>
      <c r="C4" s="7" t="str">
        <f>IFERROR(__xludf.DUMMYFUNCTION("""COMPUTED_VALUE"""),"manure-applied-to-soils")</f>
        <v>manure-applied-to-soils</v>
      </c>
      <c r="D4" s="7" t="str">
        <f>IFERROR(__xludf.DUMMYFUNCTION("""COMPUTED_VALUE"""),"Manure applied to Soils (N2O)")</f>
        <v>Manure applied to Soils (N2O)</v>
      </c>
      <c r="E4" s="7"/>
      <c r="F4" s="7"/>
      <c r="G4" s="7"/>
      <c r="H4" s="7"/>
      <c r="I4" s="7"/>
      <c r="J4" s="7"/>
    </row>
    <row r="5" ht="15.75" customHeight="1">
      <c r="A5" s="7" t="str">
        <f>IFERROR(__xludf.DUMMYFUNCTION("""COMPUTED_VALUE"""),"Agriculture")</f>
        <v>Agriculture</v>
      </c>
      <c r="B5" s="7" t="str">
        <f>IFERROR(__xludf.DUMMYFUNCTION("""COMPUTED_VALUE"""),"Rice Cultivation")</f>
        <v>Rice Cultivation</v>
      </c>
      <c r="C5" s="7" t="str">
        <f>IFERROR(__xludf.DUMMYFUNCTION("""COMPUTED_VALUE"""),"rice-cultivation")</f>
        <v>rice-cultivation</v>
      </c>
      <c r="D5" s="7" t="str">
        <f>IFERROR(__xludf.DUMMYFUNCTION("""COMPUTED_VALUE"""),"Rice Cultivation")</f>
        <v>Rice Cultivation</v>
      </c>
      <c r="E5" s="7"/>
      <c r="F5" s="7"/>
      <c r="G5" s="7"/>
      <c r="H5" s="7"/>
      <c r="I5" s="7"/>
      <c r="J5" s="7"/>
    </row>
    <row r="6" ht="15.75" customHeight="1">
      <c r="A6" s="7" t="str">
        <f>IFERROR(__xludf.DUMMYFUNCTION("""COMPUTED_VALUE"""),"Agriculture")</f>
        <v>Agriculture</v>
      </c>
      <c r="B6" s="7" t="str">
        <f>IFERROR(__xludf.DUMMYFUNCTION("""COMPUTED_VALUE"""),"Cropland Fires")</f>
        <v>Cropland Fires</v>
      </c>
      <c r="C6" s="7" t="str">
        <f>IFERROR(__xludf.DUMMYFUNCTION("""COMPUTED_VALUE"""),"cropland-fires")</f>
        <v>cropland-fires</v>
      </c>
      <c r="D6" s="7" t="str">
        <f>IFERROR(__xludf.DUMMYFUNCTION("""COMPUTED_VALUE"""),"Burning - Crop residues")</f>
        <v>Burning - Crop residues</v>
      </c>
      <c r="E6" s="7"/>
      <c r="F6" s="7"/>
      <c r="G6" s="7"/>
      <c r="H6" s="7"/>
      <c r="I6" s="7"/>
      <c r="J6" s="7"/>
    </row>
    <row r="7" ht="15.75" customHeight="1">
      <c r="A7" s="7" t="str">
        <f>IFERROR(__xludf.DUMMYFUNCTION("""COMPUTED_VALUE"""),"Agriculture")</f>
        <v>Agriculture</v>
      </c>
      <c r="B7" s="7" t="str">
        <f>IFERROR(__xludf.DUMMYFUNCTION("""COMPUTED_VALUE"""),"Enteric Fermentation")</f>
        <v>Enteric Fermentation</v>
      </c>
      <c r="C7" s="7" t="str">
        <f>IFERROR(__xludf.DUMMYFUNCTION("""COMPUTED_VALUE"""),"enteric-fermentation-cattle-feedlot, enteric-fermentation-cattle-pasture, enteric-fermentation-other")</f>
        <v>enteric-fermentation-cattle-feedlot, enteric-fermentation-cattle-pasture, enteric-fermentation-other</v>
      </c>
      <c r="D7" s="7" t="str">
        <f>IFERROR(__xludf.DUMMYFUNCTION("""COMPUTED_VALUE"""),"Enteric Fermentation")</f>
        <v>Enteric Fermentation</v>
      </c>
      <c r="E7" s="7"/>
      <c r="F7" s="7"/>
      <c r="G7" s="7"/>
      <c r="H7" s="7"/>
      <c r="I7" s="7"/>
      <c r="J7" s="7"/>
    </row>
    <row r="8" ht="15.75" customHeight="1">
      <c r="A8" s="7" t="str">
        <f>IFERROR(__xludf.DUMMYFUNCTION("""COMPUTED_VALUE"""),"Agriculture")</f>
        <v>Agriculture</v>
      </c>
      <c r="B8" s="7" t="str">
        <f>IFERROR(__xludf.DUMMYFUNCTION("""COMPUTED_VALUE"""),"Manure Management")</f>
        <v>Manure Management</v>
      </c>
      <c r="C8" s="7" t="str">
        <f>IFERROR(__xludf.DUMMYFUNCTION("""COMPUTED_VALUE"""),"manure-left-on-pasture-cattle, manure-management-cattle-feedlot, manure-management-other")</f>
        <v>manure-left-on-pasture-cattle, manure-management-cattle-feedlot, manure-management-other</v>
      </c>
      <c r="D8" s="7" t="str">
        <f>IFERROR(__xludf.DUMMYFUNCTION("""COMPUTED_VALUE"""),"Manure Management, Manure left on Pasture (CH4), Manure applied to Soils (CH4), Manure left on Pasture (N2O),")</f>
        <v>Manure Management, Manure left on Pasture (CH4), Manure applied to Soils (CH4), Manure left on Pasture (N2O),</v>
      </c>
      <c r="E8" s="7"/>
      <c r="F8" s="7"/>
      <c r="G8" s="7"/>
      <c r="H8" s="7"/>
      <c r="I8" s="7"/>
      <c r="J8" s="7"/>
    </row>
    <row r="9" ht="15.75" customHeight="1">
      <c r="A9" s="7" t="str">
        <f>IFERROR(__xludf.DUMMYFUNCTION("""COMPUTED_VALUE"""),"Agriculture")</f>
        <v>Agriculture</v>
      </c>
      <c r="B9" s="7" t="str">
        <f>IFERROR(__xludf.DUMMYFUNCTION("""COMPUTED_VALUE"""),"Synthetic Fertilizer Application")</f>
        <v>Synthetic Fertilizer Application</v>
      </c>
      <c r="C9" s="7" t="str">
        <f>IFERROR(__xludf.DUMMYFUNCTION("""COMPUTED_VALUE"""),"synthetic-fertilizer-application")</f>
        <v>synthetic-fertilizer-application</v>
      </c>
      <c r="D9" s="7" t="str">
        <f>IFERROR(__xludf.DUMMYFUNCTION("""COMPUTED_VALUE"""),"Synthetic Fertilizers")</f>
        <v>Synthetic Fertilizers</v>
      </c>
      <c r="E9" s="7"/>
      <c r="F9" s="7"/>
      <c r="G9" s="7"/>
      <c r="H9" s="7"/>
      <c r="I9" s="7"/>
      <c r="J9" s="7"/>
    </row>
    <row r="10" ht="15.75" customHeight="1">
      <c r="A10" s="7" t="str">
        <f>IFERROR(__xludf.DUMMYFUNCTION("""COMPUTED_VALUE"""),"Forestry and Land Use Change")</f>
        <v>Forestry and Land Use Change</v>
      </c>
      <c r="B10" s="7" t="str">
        <f>IFERROR(__xludf.DUMMYFUNCTION("""COMPUTED_VALUE"""),"Net Forest Land")</f>
        <v>Net Forest Land</v>
      </c>
      <c r="C10" s="7" t="str">
        <f>IFERROR(__xludf.DUMMYFUNCTION("""COMPUTED_VALUE"""),"net-forest-land")</f>
        <v>net-forest-land</v>
      </c>
      <c r="D10" s="7" t="str">
        <f>IFERROR(__xludf.DUMMYFUNCTION("""COMPUTED_VALUE"""),"Net Forest conversion")</f>
        <v>Net Forest conversion</v>
      </c>
      <c r="E10" s="7"/>
      <c r="F10" s="7"/>
      <c r="G10" s="7"/>
      <c r="H10" s="7"/>
      <c r="I10" s="7"/>
      <c r="J10" s="7"/>
    </row>
    <row r="11" ht="15.75" customHeight="1">
      <c r="A11" s="7" t="str">
        <f>IFERROR(__xludf.DUMMYFUNCTION("""COMPUTED_VALUE"""),"Forestry and Land Use Change")</f>
        <v>Forestry and Land Use Change</v>
      </c>
      <c r="B11" s="7" t="str">
        <f>IFERROR(__xludf.DUMMYFUNCTION("""COMPUTED_VALUE"""),"Shrub Grass Fires")</f>
        <v>Shrub Grass Fires</v>
      </c>
      <c r="C11" s="7" t="str">
        <f>IFERROR(__xludf.DUMMYFUNCTION("""COMPUTED_VALUE"""),"shrubgrass-fires")</f>
        <v>shrubgrass-fires</v>
      </c>
      <c r="D11" s="7" t="str">
        <f>IFERROR(__xludf.DUMMYFUNCTION("""COMPUTED_VALUE"""),"Savanna fires")</f>
        <v>Savanna fires</v>
      </c>
      <c r="E11" s="7"/>
      <c r="F11" s="7"/>
      <c r="G11" s="7"/>
      <c r="H11" s="7"/>
      <c r="I11" s="7"/>
      <c r="J11" s="7"/>
    </row>
    <row r="12" ht="15.75" customHeight="1">
      <c r="A12" s="7" t="str">
        <f>IFERROR(__xludf.DUMMYFUNCTION("""COMPUTED_VALUE"""),"Forestry and Land Use Change")</f>
        <v>Forestry and Land Use Change</v>
      </c>
      <c r="B12" s="7" t="str">
        <f>IFERROR(__xludf.DUMMYFUNCTION("""COMPUTED_VALUE"""),"Forest Land Fires")</f>
        <v>Forest Land Fires</v>
      </c>
      <c r="C12" s="7" t="str">
        <f>IFERROR(__xludf.DUMMYFUNCTION("""COMPUTED_VALUE"""),"forest-land-fires")</f>
        <v>forest-land-fires</v>
      </c>
      <c r="D12" s="7" t="str">
        <f>IFERROR(__xludf.DUMMYFUNCTION("""COMPUTED_VALUE"""),"Forest fires, Fires in humid tropical forests, Fires in organic soils")</f>
        <v>Forest fires, Fires in humid tropical forests, Fires in organic soils</v>
      </c>
      <c r="E12" s="7"/>
      <c r="F12" s="7"/>
      <c r="G12" s="7"/>
      <c r="H12" s="7"/>
      <c r="I12" s="7"/>
      <c r="J12" s="7"/>
    </row>
    <row r="13" ht="15.75" customHeight="1">
      <c r="A13" s="7"/>
      <c r="B13" s="7"/>
      <c r="C13" s="7"/>
      <c r="D13" s="7"/>
      <c r="E13" s="7"/>
      <c r="F13" s="7"/>
      <c r="G13" s="7"/>
      <c r="H13" s="7"/>
      <c r="I13" s="7"/>
      <c r="J13" s="7"/>
    </row>
    <row r="14" ht="15.75" customHeight="1">
      <c r="A14" s="7"/>
      <c r="B14" s="7"/>
      <c r="C14" s="7"/>
      <c r="D14" s="7"/>
      <c r="E14" s="7"/>
      <c r="F14" s="7"/>
      <c r="G14" s="7"/>
      <c r="H14" s="7"/>
      <c r="I14" s="7"/>
      <c r="J14" s="7"/>
    </row>
    <row r="15" ht="15.75" customHeight="1">
      <c r="A15" s="7"/>
      <c r="B15" s="7"/>
      <c r="C15" s="7"/>
      <c r="D15" s="7"/>
      <c r="E15" s="7"/>
      <c r="F15" s="7"/>
      <c r="G15" s="7"/>
      <c r="H15" s="7"/>
      <c r="I15" s="7"/>
      <c r="J15" s="7"/>
    </row>
    <row r="16" ht="15.75" customHeight="1">
      <c r="A16" s="7"/>
      <c r="B16" s="7"/>
      <c r="C16" s="7"/>
      <c r="D16" s="7"/>
      <c r="E16" s="7"/>
      <c r="F16" s="7"/>
      <c r="G16" s="7"/>
      <c r="H16" s="7"/>
      <c r="I16" s="7"/>
      <c r="J16" s="7"/>
    </row>
    <row r="17" ht="15.75" customHeight="1">
      <c r="A17" s="7"/>
      <c r="B17" s="7"/>
      <c r="C17" s="7"/>
      <c r="D17" s="7"/>
      <c r="E17" s="7"/>
      <c r="F17" s="7"/>
      <c r="G17" s="7"/>
      <c r="H17" s="7"/>
      <c r="I17" s="7"/>
      <c r="J17" s="7"/>
    </row>
    <row r="18" ht="15.75" customHeight="1">
      <c r="A18" s="7"/>
      <c r="B18" s="7"/>
      <c r="C18" s="7"/>
      <c r="D18" s="7"/>
      <c r="E18" s="7"/>
      <c r="F18" s="7"/>
      <c r="G18" s="7"/>
      <c r="H18" s="7"/>
      <c r="I18" s="7"/>
      <c r="J18" s="7"/>
    </row>
    <row r="19" ht="15.75" customHeight="1">
      <c r="A19" s="7"/>
      <c r="B19" s="7"/>
      <c r="C19" s="7"/>
      <c r="D19" s="7"/>
      <c r="E19" s="7"/>
      <c r="F19" s="7"/>
      <c r="G19" s="7"/>
      <c r="H19" s="7"/>
      <c r="I19" s="7"/>
      <c r="J19" s="7"/>
    </row>
    <row r="20" ht="15.75" customHeight="1">
      <c r="A20" s="7"/>
      <c r="B20" s="7"/>
      <c r="C20" s="7"/>
      <c r="D20" s="7"/>
      <c r="E20" s="7"/>
      <c r="F20" s="7"/>
      <c r="G20" s="7"/>
      <c r="H20" s="7"/>
      <c r="I20" s="7"/>
      <c r="J20" s="7"/>
    </row>
    <row r="21" ht="15.75" customHeight="1">
      <c r="A21" s="7"/>
      <c r="B21" s="7"/>
      <c r="C21" s="7"/>
      <c r="D21" s="7"/>
      <c r="E21" s="7"/>
      <c r="F21" s="7"/>
      <c r="G21" s="7"/>
      <c r="H21" s="7"/>
      <c r="I21" s="7"/>
      <c r="J21" s="7"/>
    </row>
    <row r="22" ht="15.75" customHeight="1">
      <c r="A22" s="7"/>
      <c r="B22" s="7"/>
      <c r="C22" s="7"/>
      <c r="D22" s="7"/>
      <c r="E22" s="7"/>
      <c r="F22" s="7"/>
      <c r="G22" s="7"/>
      <c r="H22" s="7"/>
      <c r="I22" s="7"/>
      <c r="J22" s="7"/>
    </row>
    <row r="23" ht="15.75" customHeight="1">
      <c r="A23" s="7"/>
      <c r="B23" s="7"/>
      <c r="C23" s="7"/>
      <c r="D23" s="7"/>
      <c r="E23" s="7"/>
      <c r="F23" s="7"/>
      <c r="G23" s="7"/>
      <c r="H23" s="7"/>
      <c r="I23" s="7"/>
      <c r="J23" s="7"/>
    </row>
    <row r="24" ht="15.75" customHeight="1">
      <c r="A24" s="7"/>
      <c r="B24" s="7"/>
      <c r="C24" s="7"/>
      <c r="D24" s="7"/>
      <c r="E24" s="7"/>
      <c r="F24" s="7"/>
      <c r="G24" s="7"/>
      <c r="H24" s="7"/>
      <c r="I24" s="7"/>
      <c r="J24" s="7"/>
    </row>
    <row r="25" ht="15.75" customHeight="1">
      <c r="A25" s="7"/>
      <c r="B25" s="7"/>
      <c r="C25" s="7"/>
      <c r="D25" s="7"/>
      <c r="E25" s="7"/>
      <c r="F25" s="7"/>
      <c r="G25" s="7"/>
      <c r="H25" s="7"/>
      <c r="I25" s="7"/>
      <c r="J25" s="7"/>
    </row>
    <row r="26" ht="15.75" customHeight="1">
      <c r="A26" s="7"/>
      <c r="B26" s="7"/>
      <c r="C26" s="7"/>
      <c r="D26" s="7"/>
      <c r="E26" s="7"/>
      <c r="F26" s="7"/>
      <c r="G26" s="7"/>
      <c r="H26" s="7"/>
      <c r="I26" s="7"/>
      <c r="J26" s="7"/>
    </row>
    <row r="27" ht="15.75" customHeight="1">
      <c r="A27" s="7"/>
      <c r="B27" s="7"/>
      <c r="C27" s="7"/>
      <c r="D27" s="7"/>
      <c r="E27" s="7"/>
      <c r="F27" s="7"/>
      <c r="G27" s="7"/>
      <c r="H27" s="7"/>
      <c r="I27" s="7"/>
      <c r="J27" s="7"/>
    </row>
    <row r="28" ht="15.75" customHeight="1">
      <c r="A28" s="7"/>
      <c r="B28" s="7"/>
      <c r="C28" s="7"/>
      <c r="D28" s="7"/>
      <c r="E28" s="7"/>
      <c r="F28" s="7"/>
      <c r="G28" s="7"/>
      <c r="H28" s="7"/>
      <c r="I28" s="7"/>
      <c r="J28" s="7"/>
    </row>
    <row r="29" ht="15.75" customHeight="1">
      <c r="A29" s="7"/>
      <c r="B29" s="7"/>
      <c r="C29" s="7"/>
      <c r="D29" s="7"/>
      <c r="E29" s="7"/>
      <c r="F29" s="7"/>
      <c r="G29" s="7"/>
      <c r="H29" s="7"/>
      <c r="I29" s="7"/>
      <c r="J29" s="7"/>
    </row>
    <row r="30" ht="15.75" customHeight="1">
      <c r="A30" s="7"/>
      <c r="B30" s="7"/>
      <c r="C30" s="7"/>
      <c r="D30" s="7"/>
      <c r="E30" s="7"/>
      <c r="F30" s="7"/>
      <c r="G30" s="7"/>
      <c r="H30" s="7"/>
      <c r="I30" s="7"/>
      <c r="J30" s="7"/>
    </row>
    <row r="31" ht="15.75" customHeight="1">
      <c r="A31" s="7"/>
      <c r="B31" s="7"/>
      <c r="C31" s="7"/>
      <c r="D31" s="7"/>
      <c r="E31" s="7"/>
      <c r="F31" s="7"/>
      <c r="G31" s="7"/>
      <c r="H31" s="7"/>
      <c r="I31" s="7"/>
      <c r="J31" s="7"/>
    </row>
    <row r="32" ht="15.75" customHeight="1">
      <c r="A32" s="7"/>
      <c r="B32" s="7"/>
      <c r="C32" s="7"/>
      <c r="D32" s="7"/>
      <c r="E32" s="7"/>
      <c r="F32" s="7"/>
      <c r="G32" s="7"/>
      <c r="H32" s="7"/>
      <c r="I32" s="7"/>
      <c r="J32" s="7"/>
    </row>
    <row r="33" ht="15.75" customHeight="1">
      <c r="A33" s="7"/>
      <c r="B33" s="7"/>
      <c r="C33" s="7"/>
      <c r="D33" s="7"/>
      <c r="E33" s="7"/>
      <c r="F33" s="7"/>
      <c r="G33" s="7"/>
      <c r="H33" s="7"/>
      <c r="I33" s="7"/>
      <c r="J33" s="7"/>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tr">
        <f>IFERROR(__xludf.DUMMYFUNCTION("IMPORTRANGE(""https://docs.google.com/spreadsheets/d/1VvOGcBodrKNXu3BjZqF9bmJ342Ts6Alxj2RYSMAL658/edit#gid=0"", ""carbon-monitor-analysis-util!A1:J200"")"),"Comparison Sector")</f>
        <v>Comparison Sector</v>
      </c>
      <c r="B1" s="7" t="str">
        <f>IFERROR(__xludf.DUMMYFUNCTION("""COMPUTED_VALUE"""),"Comparison Subsector")</f>
        <v>Comparison Subsector</v>
      </c>
      <c r="C1" s="7" t="str">
        <f>IFERROR(__xludf.DUMMYFUNCTION("""COMPUTED_VALUE"""),"Climate TRACE Sectors")</f>
        <v>Climate TRACE Sectors</v>
      </c>
      <c r="D1" s="7" t="str">
        <f>IFERROR(__xludf.DUMMYFUNCTION("""COMPUTED_VALUE"""),"Carbon Monitor Sectors")</f>
        <v>Carbon Monitor Sectors</v>
      </c>
      <c r="E1" s="7"/>
      <c r="F1" s="7"/>
      <c r="G1" s="7"/>
      <c r="H1" s="7"/>
      <c r="I1" s="7"/>
      <c r="J1" s="7"/>
    </row>
    <row r="2" ht="15.75" customHeight="1">
      <c r="A2" s="7" t="str">
        <f>IFERROR(__xludf.DUMMYFUNCTION("""COMPUTED_VALUE"""),"Electricity Generation")</f>
        <v>Electricity Generation</v>
      </c>
      <c r="B2" s="7" t="str">
        <f>IFERROR(__xludf.DUMMYFUNCTION("""COMPUTED_VALUE"""),"Electricity Generation")</f>
        <v>Electricity Generation</v>
      </c>
      <c r="C2" s="7" t="str">
        <f>IFERROR(__xludf.DUMMYFUNCTION("""COMPUTED_VALUE"""),"electricity-generation")</f>
        <v>electricity-generation</v>
      </c>
      <c r="D2" s="7" t="str">
        <f>IFERROR(__xludf.DUMMYFUNCTION("""COMPUTED_VALUE"""),"Power")</f>
        <v>Power</v>
      </c>
      <c r="E2" s="7"/>
      <c r="F2" s="7"/>
      <c r="G2" s="7"/>
      <c r="H2" s="7"/>
      <c r="I2" s="7"/>
      <c r="J2" s="7"/>
    </row>
    <row r="3" ht="15.75" customHeight="1">
      <c r="A3" s="7" t="str">
        <f>IFERROR(__xludf.DUMMYFUNCTION("""COMPUTED_VALUE"""),"Domestic Aviation")</f>
        <v>Domestic Aviation</v>
      </c>
      <c r="B3" s="7" t="str">
        <f>IFERROR(__xludf.DUMMYFUNCTION("""COMPUTED_VALUE"""),"Domestic Aviation")</f>
        <v>Domestic Aviation</v>
      </c>
      <c r="C3" s="7" t="str">
        <f>IFERROR(__xludf.DUMMYFUNCTION("""COMPUTED_VALUE"""),"domestic-aviation")</f>
        <v>domestic-aviation</v>
      </c>
      <c r="D3" s="7" t="str">
        <f>IFERROR(__xludf.DUMMYFUNCTION("""COMPUTED_VALUE"""),"Domestic Aviation")</f>
        <v>Domestic Aviation</v>
      </c>
      <c r="E3" s="7"/>
      <c r="F3" s="7"/>
      <c r="G3" s="7"/>
      <c r="H3" s="7"/>
      <c r="I3" s="7"/>
      <c r="J3" s="7"/>
    </row>
    <row r="4" ht="15.75" customHeight="1">
      <c r="A4" s="7" t="str">
        <f>IFERROR(__xludf.DUMMYFUNCTION("""COMPUTED_VALUE"""),"International Aviation")</f>
        <v>International Aviation</v>
      </c>
      <c r="B4" s="7" t="str">
        <f>IFERROR(__xludf.DUMMYFUNCTION("""COMPUTED_VALUE"""),"International Aviation")</f>
        <v>International Aviation</v>
      </c>
      <c r="C4" s="7" t="str">
        <f>IFERROR(__xludf.DUMMYFUNCTION("""COMPUTED_VALUE"""),"international-aviation")</f>
        <v>international-aviation</v>
      </c>
      <c r="D4" s="7" t="str">
        <f>IFERROR(__xludf.DUMMYFUNCTION("""COMPUTED_VALUE"""),"International Aviation")</f>
        <v>International Aviation</v>
      </c>
      <c r="E4" s="7"/>
      <c r="F4" s="7"/>
      <c r="G4" s="7"/>
      <c r="H4" s="7"/>
      <c r="I4" s="7"/>
      <c r="J4" s="7"/>
    </row>
    <row r="5" ht="15.75" customHeight="1">
      <c r="A5" s="7" t="str">
        <f>IFERROR(__xludf.DUMMYFUNCTION("""COMPUTED_VALUE"""),"Road Transportation")</f>
        <v>Road Transportation</v>
      </c>
      <c r="B5" s="7" t="str">
        <f>IFERROR(__xludf.DUMMYFUNCTION("""COMPUTED_VALUE"""),"Road Transportation")</f>
        <v>Road Transportation</v>
      </c>
      <c r="C5" s="7" t="str">
        <f>IFERROR(__xludf.DUMMYFUNCTION("""COMPUTED_VALUE"""),"road-transportation")</f>
        <v>road-transportation</v>
      </c>
      <c r="D5" s="7" t="str">
        <f>IFERROR(__xludf.DUMMYFUNCTION("""COMPUTED_VALUE"""),"Ground Transport")</f>
        <v>Ground Transport</v>
      </c>
      <c r="E5" s="7"/>
      <c r="F5" s="7"/>
      <c r="G5" s="7"/>
      <c r="H5" s="7"/>
      <c r="I5" s="7"/>
      <c r="J5" s="7"/>
    </row>
    <row r="6" ht="15.75" customHeight="1">
      <c r="A6" s="7" t="str">
        <f>IFERROR(__xludf.DUMMYFUNCTION("""COMPUTED_VALUE"""),"Residential Onsite Fuel Usage")</f>
        <v>Residential Onsite Fuel Usage</v>
      </c>
      <c r="B6" s="7" t="str">
        <f>IFERROR(__xludf.DUMMYFUNCTION("""COMPUTED_VALUE"""),"Residential Onsite Fuel Usage")</f>
        <v>Residential Onsite Fuel Usage</v>
      </c>
      <c r="C6" s="7" t="str">
        <f>IFERROR(__xludf.DUMMYFUNCTION("""COMPUTED_VALUE"""),"residential-onsite-fuel-usage")</f>
        <v>residential-onsite-fuel-usage</v>
      </c>
      <c r="D6" s="7" t="str">
        <f>IFERROR(__xludf.DUMMYFUNCTION("""COMPUTED_VALUE"""),"Residential")</f>
        <v>Residential</v>
      </c>
      <c r="E6" s="7"/>
      <c r="F6" s="7"/>
      <c r="G6" s="7"/>
      <c r="H6" s="7"/>
      <c r="I6" s="7"/>
      <c r="J6" s="7"/>
    </row>
    <row r="7" ht="15.75" customHeight="1">
      <c r="A7" s="7" t="str">
        <f>IFERROR(__xludf.DUMMYFUNCTION("""COMPUTED_VALUE"""),"Manufacturing and Industrial Processes")</f>
        <v>Manufacturing and Industrial Processes</v>
      </c>
      <c r="B7" s="7" t="str">
        <f>IFERROR(__xludf.DUMMYFUNCTION("""COMPUTED_VALUE"""),"Manufacturing and Industrial Processes")</f>
        <v>Manufacturing and Industrial Processes</v>
      </c>
      <c r="C7" s="7" t="str">
        <f>IFERROR(__xludf.DUMMYFUNCTION("""COMPUTED_VALUE"""),"cement, chemicals, steel, aluminum, fluorinated-gases, petrochemicals, pulp-and-paper, sand-quarrying, rock-quarrying, bauxite-mining, iron-mining, copper-mining, other-manufacturing")</f>
        <v>cement, chemicals, steel, aluminum, fluorinated-gases, petrochemicals, pulp-and-paper, sand-quarrying, rock-quarrying, bauxite-mining, iron-mining, copper-mining, other-manufacturing</v>
      </c>
      <c r="D7" s="7" t="str">
        <f>IFERROR(__xludf.DUMMYFUNCTION("""COMPUTED_VALUE"""),"Industry")</f>
        <v>Industry</v>
      </c>
      <c r="E7" s="7"/>
      <c r="F7" s="7"/>
      <c r="G7" s="7"/>
      <c r="H7" s="7"/>
      <c r="I7" s="7"/>
      <c r="J7" s="7"/>
    </row>
    <row r="8" ht="15.75" customHeight="1">
      <c r="A8" s="7"/>
      <c r="B8" s="7"/>
      <c r="C8" s="7"/>
      <c r="D8" s="7"/>
      <c r="E8" s="7"/>
      <c r="F8" s="7"/>
      <c r="G8" s="7"/>
      <c r="H8" s="7"/>
      <c r="I8" s="7"/>
      <c r="J8" s="7"/>
    </row>
    <row r="9" ht="15.75" customHeight="1">
      <c r="A9" s="7"/>
      <c r="B9" s="7"/>
      <c r="C9" s="7"/>
      <c r="D9" s="7"/>
      <c r="E9" s="7"/>
      <c r="F9" s="7"/>
      <c r="G9" s="7"/>
      <c r="H9" s="7"/>
      <c r="I9" s="7"/>
      <c r="J9" s="7"/>
    </row>
    <row r="10" ht="15.75" customHeight="1">
      <c r="A10" s="7"/>
      <c r="B10" s="7"/>
      <c r="C10" s="7"/>
      <c r="D10" s="7"/>
      <c r="E10" s="7"/>
      <c r="F10" s="7"/>
      <c r="G10" s="7"/>
      <c r="H10" s="7"/>
      <c r="I10" s="7"/>
      <c r="J10" s="7"/>
    </row>
    <row r="11" ht="15.75" customHeight="1">
      <c r="A11" s="7"/>
      <c r="B11" s="7"/>
      <c r="C11" s="7"/>
      <c r="D11" s="7"/>
      <c r="E11" s="7"/>
      <c r="F11" s="7"/>
      <c r="G11" s="7"/>
      <c r="H11" s="7"/>
      <c r="I11" s="7"/>
      <c r="J11" s="7"/>
    </row>
    <row r="12" ht="15.75" customHeight="1">
      <c r="A12" s="7"/>
      <c r="B12" s="7"/>
      <c r="C12" s="7"/>
      <c r="D12" s="7"/>
      <c r="E12" s="7"/>
      <c r="F12" s="7"/>
      <c r="G12" s="7"/>
      <c r="H12" s="7"/>
      <c r="I12" s="7"/>
      <c r="J12" s="7"/>
    </row>
    <row r="13" ht="15.75" customHeight="1">
      <c r="A13" s="7"/>
      <c r="B13" s="7"/>
      <c r="C13" s="7"/>
      <c r="D13" s="7"/>
      <c r="E13" s="7"/>
      <c r="F13" s="7"/>
      <c r="G13" s="7"/>
      <c r="H13" s="7"/>
      <c r="I13" s="7"/>
      <c r="J13" s="7"/>
    </row>
    <row r="14" ht="15.75" customHeight="1">
      <c r="A14" s="7"/>
      <c r="B14" s="7"/>
      <c r="C14" s="7"/>
      <c r="D14" s="7"/>
      <c r="E14" s="7"/>
      <c r="F14" s="7"/>
      <c r="G14" s="7"/>
      <c r="H14" s="7"/>
      <c r="I14" s="7"/>
      <c r="J14" s="7"/>
    </row>
    <row r="15" ht="15.75" customHeight="1">
      <c r="A15" s="7"/>
      <c r="B15" s="7"/>
      <c r="C15" s="7"/>
      <c r="D15" s="7"/>
      <c r="E15" s="7"/>
      <c r="F15" s="7"/>
      <c r="G15" s="7"/>
      <c r="H15" s="7"/>
      <c r="I15" s="7"/>
      <c r="J15" s="7"/>
    </row>
    <row r="16" ht="15.75" customHeight="1">
      <c r="A16" s="7"/>
      <c r="B16" s="7"/>
      <c r="C16" s="7"/>
      <c r="D16" s="7"/>
      <c r="E16" s="7"/>
      <c r="F16" s="7"/>
      <c r="G16" s="7"/>
      <c r="H16" s="7"/>
      <c r="I16" s="7"/>
      <c r="J16" s="7"/>
    </row>
    <row r="17" ht="15.75" customHeight="1">
      <c r="A17" s="7"/>
      <c r="B17" s="7"/>
      <c r="C17" s="7"/>
      <c r="D17" s="7"/>
      <c r="E17" s="7"/>
      <c r="F17" s="7"/>
      <c r="G17" s="7"/>
      <c r="H17" s="7"/>
      <c r="I17" s="7"/>
      <c r="J17" s="7"/>
    </row>
    <row r="18" ht="15.75" customHeight="1">
      <c r="A18" s="7"/>
      <c r="B18" s="7"/>
      <c r="C18" s="7"/>
      <c r="D18" s="7"/>
      <c r="E18" s="7"/>
      <c r="F18" s="7"/>
      <c r="G18" s="7"/>
      <c r="H18" s="7"/>
      <c r="I18" s="7"/>
      <c r="J18" s="7"/>
    </row>
    <row r="19" ht="15.75" customHeight="1">
      <c r="A19" s="7"/>
      <c r="B19" s="7"/>
      <c r="C19" s="7"/>
      <c r="D19" s="7"/>
      <c r="E19" s="7"/>
      <c r="F19" s="7"/>
      <c r="G19" s="7"/>
      <c r="H19" s="7"/>
      <c r="I19" s="7"/>
      <c r="J19" s="7"/>
    </row>
    <row r="20" ht="15.75" customHeight="1">
      <c r="A20" s="7"/>
      <c r="B20" s="7"/>
      <c r="C20" s="7"/>
      <c r="D20" s="7"/>
      <c r="E20" s="7"/>
      <c r="F20" s="7"/>
      <c r="G20" s="7"/>
      <c r="H20" s="7"/>
      <c r="I20" s="7"/>
      <c r="J20" s="7"/>
    </row>
    <row r="21" ht="15.75" customHeight="1">
      <c r="A21" s="7"/>
      <c r="B21" s="7"/>
      <c r="C21" s="7"/>
      <c r="D21" s="7"/>
      <c r="E21" s="7"/>
      <c r="F21" s="7"/>
      <c r="G21" s="7"/>
      <c r="H21" s="7"/>
      <c r="I21" s="7"/>
      <c r="J21" s="7"/>
    </row>
    <row r="22" ht="15.75" customHeight="1">
      <c r="A22" s="7"/>
      <c r="B22" s="7"/>
      <c r="C22" s="7"/>
      <c r="D22" s="7"/>
      <c r="E22" s="7"/>
      <c r="F22" s="7"/>
      <c r="G22" s="7"/>
      <c r="H22" s="7"/>
      <c r="I22" s="7"/>
      <c r="J22" s="7"/>
    </row>
    <row r="23" ht="15.75" customHeight="1">
      <c r="A23" s="7"/>
      <c r="B23" s="7"/>
      <c r="C23" s="7"/>
      <c r="D23" s="7"/>
      <c r="E23" s="7"/>
      <c r="F23" s="7"/>
      <c r="G23" s="7"/>
      <c r="H23" s="7"/>
      <c r="I23" s="7"/>
      <c r="J23" s="7"/>
    </row>
    <row r="24" ht="15.75" customHeight="1">
      <c r="A24" s="7"/>
      <c r="B24" s="7"/>
      <c r="C24" s="7"/>
      <c r="D24" s="7"/>
      <c r="E24" s="7"/>
      <c r="F24" s="7"/>
      <c r="G24" s="7"/>
      <c r="H24" s="7"/>
      <c r="I24" s="7"/>
      <c r="J24" s="7"/>
    </row>
    <row r="25" ht="15.75" customHeight="1">
      <c r="A25" s="7"/>
      <c r="B25" s="7"/>
      <c r="C25" s="7"/>
      <c r="D25" s="7"/>
      <c r="E25" s="7"/>
      <c r="F25" s="7"/>
      <c r="G25" s="7"/>
      <c r="H25" s="7"/>
      <c r="I25" s="7"/>
      <c r="J25" s="7"/>
    </row>
    <row r="26" ht="15.75" customHeight="1">
      <c r="A26" s="7"/>
      <c r="B26" s="7"/>
      <c r="C26" s="7"/>
      <c r="D26" s="7"/>
      <c r="E26" s="7"/>
      <c r="F26" s="7"/>
      <c r="G26" s="7"/>
      <c r="H26" s="7"/>
      <c r="I26" s="7"/>
      <c r="J26" s="7"/>
    </row>
    <row r="27" ht="15.75" customHeight="1">
      <c r="A27" s="7"/>
      <c r="B27" s="7"/>
      <c r="C27" s="7"/>
      <c r="D27" s="7"/>
      <c r="E27" s="7"/>
      <c r="F27" s="7"/>
      <c r="G27" s="7"/>
      <c r="H27" s="7"/>
      <c r="I27" s="7"/>
      <c r="J27" s="7"/>
    </row>
    <row r="28" ht="15.75" customHeight="1">
      <c r="A28" s="7"/>
      <c r="B28" s="7"/>
      <c r="C28" s="7"/>
      <c r="D28" s="7"/>
      <c r="E28" s="7"/>
      <c r="F28" s="7"/>
      <c r="G28" s="7"/>
      <c r="H28" s="7"/>
      <c r="I28" s="7"/>
      <c r="J28" s="7"/>
    </row>
    <row r="29" ht="15.75" customHeight="1">
      <c r="A29" s="7"/>
      <c r="B29" s="7"/>
      <c r="C29" s="7"/>
      <c r="D29" s="7"/>
      <c r="E29" s="7"/>
      <c r="F29" s="7"/>
      <c r="G29" s="7"/>
      <c r="H29" s="7"/>
      <c r="I29" s="7"/>
      <c r="J29" s="7"/>
    </row>
    <row r="30" ht="15.75" customHeight="1">
      <c r="A30" s="7"/>
      <c r="B30" s="7"/>
      <c r="C30" s="7"/>
      <c r="D30" s="7"/>
      <c r="E30" s="7"/>
      <c r="F30" s="7"/>
      <c r="G30" s="7"/>
      <c r="H30" s="7"/>
      <c r="I30" s="7"/>
      <c r="J30" s="7"/>
    </row>
    <row r="31" ht="15.75" customHeight="1">
      <c r="A31" s="7"/>
      <c r="B31" s="7"/>
      <c r="C31" s="7"/>
      <c r="D31" s="7"/>
      <c r="E31" s="7"/>
      <c r="F31" s="7"/>
      <c r="G31" s="7"/>
      <c r="H31" s="7"/>
      <c r="I31" s="7"/>
      <c r="J31" s="7"/>
    </row>
    <row r="32" ht="15.75" customHeight="1">
      <c r="A32" s="7"/>
      <c r="B32" s="7"/>
      <c r="C32" s="7"/>
      <c r="D32" s="7"/>
      <c r="E32" s="7"/>
      <c r="F32" s="7"/>
      <c r="G32" s="7"/>
      <c r="H32" s="7"/>
      <c r="I32" s="7"/>
      <c r="J32" s="7"/>
    </row>
    <row r="33" ht="15.75" customHeight="1">
      <c r="A33" s="7"/>
      <c r="B33" s="7"/>
      <c r="C33" s="7"/>
      <c r="D33" s="7"/>
      <c r="E33" s="7"/>
      <c r="F33" s="7"/>
      <c r="G33" s="7"/>
      <c r="H33" s="7"/>
      <c r="I33" s="7"/>
      <c r="J33" s="7"/>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tr">
        <f>IFERROR(__xludf.DUMMYFUNCTION("IMPORTRANGE(""https://docs.google.com/spreadsheets/d/1VvOGcBodrKNXu3BjZqF9bmJ342Ts6Alxj2RYSMAL658/edit#gid=0"", ""gcp-analysis-util!A1:J200"")"),"Comparison Sector")</f>
        <v>Comparison Sector</v>
      </c>
      <c r="B1" s="7" t="str">
        <f>IFERROR(__xludf.DUMMYFUNCTION("""COMPUTED_VALUE"""),"Comparison Subsector")</f>
        <v>Comparison Subsector</v>
      </c>
      <c r="C1" s="7" t="str">
        <f>IFERROR(__xludf.DUMMYFUNCTION("""COMPUTED_VALUE"""),"Climate TRACE Sectors")</f>
        <v>Climate TRACE Sectors</v>
      </c>
      <c r="D1" s="7" t="str">
        <f>IFERROR(__xludf.DUMMYFUNCTION("""COMPUTED_VALUE"""),"GCP Sectors")</f>
        <v>GCP Sectors</v>
      </c>
      <c r="E1" s="7"/>
      <c r="F1" s="7"/>
      <c r="G1" s="7"/>
      <c r="H1" s="7"/>
      <c r="I1" s="7"/>
      <c r="J1" s="7"/>
    </row>
    <row r="2" ht="15.75" customHeight="1">
      <c r="A2" s="7" t="str">
        <f>IFERROR(__xludf.DUMMYFUNCTION("""COMPUTED_VALUE"""),"Cement")</f>
        <v>Cement</v>
      </c>
      <c r="B2" s="7" t="str">
        <f>IFERROR(__xludf.DUMMYFUNCTION("""COMPUTED_VALUE"""),"Cement")</f>
        <v>Cement</v>
      </c>
      <c r="C2" s="7" t="str">
        <f>IFERROR(__xludf.DUMMYFUNCTION("""COMPUTED_VALUE"""),"cement")</f>
        <v>cement</v>
      </c>
      <c r="D2" s="7" t="str">
        <f>IFERROR(__xludf.DUMMYFUNCTION("""COMPUTED_VALUE"""),"Cement")</f>
        <v>Cement</v>
      </c>
      <c r="E2" s="7"/>
      <c r="F2" s="7"/>
      <c r="G2" s="7"/>
      <c r="H2" s="7"/>
      <c r="I2" s="7"/>
      <c r="J2" s="7"/>
    </row>
    <row r="3" ht="15.75" customHeight="1">
      <c r="A3" s="7" t="str">
        <f>IFERROR(__xludf.DUMMYFUNCTION("""COMPUTED_VALUE"""),"Energy Industries, Fossil Fuel Operations, Buildings, and Transport")</f>
        <v>Energy Industries, Fossil Fuel Operations, Buildings, and Transport</v>
      </c>
      <c r="B3" s="7" t="str">
        <f>IFERROR(__xludf.DUMMYFUNCTION("""COMPUTED_VALUE"""),"Energy Industries, Fossil Fuel Operations, Buildings, and Transport")</f>
        <v>Energy Industries, Fossil Fuel Operations, Buildings, and Transport</v>
      </c>
      <c r="C3" s="7" t="str">
        <f>IFERROR(__xludf.DUMMYFUNCTION("""COMPUTED_VALUE"""),"electricity-generation, other-energy-use, residential-and-commercial-onsite-fuel-usage, other-onsite-fuel-usage, domestic-aviation, domestic-shipping, road-transportation, railways, other-transport, chemicals, steel, aluminum, petrochemicals, pulp-and-pap"&amp;"er, sand-quarrying, rock-quarrying, bauxite-mining, iron-mining, copper-mining, other-manufacturing, coal-mining, other-solid-fuels, oil-and-gas-refining, other-fossil-fuel-operations")</f>
        <v>electricity-generation, other-energy-use, residential-and-commercial-onsite-fuel-usage, other-onsite-fuel-usage, domestic-aviation, domestic-shipping, road-transportation, railways, other-transport, chemicals, steel, aluminum, petrochemicals, pulp-and-paper, sand-quarrying, rock-quarrying, bauxite-mining, iron-mining, copper-mining, other-manufacturing, coal-mining, other-solid-fuels, oil-and-gas-refining, other-fossil-fuel-operations</v>
      </c>
      <c r="D3" s="7" t="str">
        <f>IFERROR(__xludf.DUMMYFUNCTION("""COMPUTED_VALUE"""),"Coal, Oil, Gas")</f>
        <v>Coal, Oil, Gas</v>
      </c>
      <c r="E3" s="7"/>
      <c r="F3" s="7"/>
      <c r="G3" s="7"/>
      <c r="H3" s="7"/>
      <c r="I3" s="7"/>
      <c r="J3" s="7"/>
    </row>
    <row r="4" ht="15.75" customHeight="1">
      <c r="A4" s="7" t="str">
        <f>IFERROR(__xludf.DUMMYFUNCTION("""COMPUTED_VALUE"""),"Fossil Fuel Operations")</f>
        <v>Fossil Fuel Operations</v>
      </c>
      <c r="B4" s="7" t="str">
        <f>IFERROR(__xludf.DUMMYFUNCTION("""COMPUTED_VALUE"""),"Oil and Gas Production and Transport")</f>
        <v>Oil and Gas Production and Transport</v>
      </c>
      <c r="C4" s="7" t="str">
        <f>IFERROR(__xludf.DUMMYFUNCTION("""COMPUTED_VALUE"""),"oil-and-gas-production-and-transport")</f>
        <v>oil-and-gas-production-and-transport</v>
      </c>
      <c r="D4" s="7" t="str">
        <f>IFERROR(__xludf.DUMMYFUNCTION("""COMPUTED_VALUE"""),"Gas flaring")</f>
        <v>Gas flaring</v>
      </c>
      <c r="E4" s="7"/>
      <c r="F4" s="7"/>
      <c r="G4" s="7"/>
      <c r="H4" s="7"/>
      <c r="I4" s="7"/>
      <c r="J4" s="7"/>
    </row>
    <row r="5" ht="15.75" customHeight="1">
      <c r="A5" s="7" t="str">
        <f>IFERROR(__xludf.DUMMYFUNCTION("""COMPUTED_VALUE"""),"Forestry and Land Use Change")</f>
        <v>Forestry and Land Use Change</v>
      </c>
      <c r="B5" s="7" t="str">
        <f>IFERROR(__xludf.DUMMYFUNCTION("""COMPUTED_VALUE"""),"Forest and Land Use Change Source")</f>
        <v>Forest and Land Use Change Source</v>
      </c>
      <c r="C5" s="7" t="str">
        <f>IFERROR(__xludf.DUMMYFUNCTION("""COMPUTED_VALUE"""),"forest-land-fires, forest-land-clearing, forest-land-degradation, shrubgrass-fires, wetland-fires, water-reservoirs")</f>
        <v>forest-land-fires, forest-land-clearing, forest-land-degradation, shrubgrass-fires, wetland-fires, water-reservoirs</v>
      </c>
      <c r="D5" s="7" t="str">
        <f>IFERROR(__xludf.DUMMYFUNCTION("""COMPUTED_VALUE"""),"Gross Source")</f>
        <v>Gross Source</v>
      </c>
      <c r="E5" s="7"/>
      <c r="F5" s="7"/>
      <c r="G5" s="7"/>
      <c r="H5" s="7"/>
      <c r="I5" s="7"/>
      <c r="J5" s="7"/>
    </row>
    <row r="6" ht="15.75" customHeight="1">
      <c r="A6" s="7" t="str">
        <f>IFERROR(__xludf.DUMMYFUNCTION("""COMPUTED_VALUE"""),"Forestry and Land Use Change")</f>
        <v>Forestry and Land Use Change</v>
      </c>
      <c r="B6" s="7" t="str">
        <f>IFERROR(__xludf.DUMMYFUNCTION("""COMPUTED_VALUE"""),"Removals")</f>
        <v>Removals</v>
      </c>
      <c r="C6" s="7" t="str">
        <f>IFERROR(__xludf.DUMMYFUNCTION("""COMPUTED_VALUE"""),"removals")</f>
        <v>removals</v>
      </c>
      <c r="D6" s="7" t="str">
        <f>IFERROR(__xludf.DUMMYFUNCTION("""COMPUTED_VALUE"""),"Gross Sink")</f>
        <v>Gross Sink</v>
      </c>
      <c r="E6" s="7"/>
      <c r="F6" s="7"/>
      <c r="G6" s="7"/>
      <c r="H6" s="7"/>
      <c r="I6" s="7"/>
      <c r="J6" s="7"/>
    </row>
    <row r="7" ht="15.75" customHeight="1">
      <c r="A7" s="7" t="str">
        <f>IFERROR(__xludf.DUMMYFUNCTION("""COMPUTED_VALUE"""),"Net Forestry and Land Use Change")</f>
        <v>Net Forestry and Land Use Change</v>
      </c>
      <c r="B7" s="7" t="str">
        <f>IFERROR(__xludf.DUMMYFUNCTION("""COMPUTED_VALUE"""),"Net Forestry and Land Use Change")</f>
        <v>Net Forestry and Land Use Change</v>
      </c>
      <c r="C7" s="7" t="str">
        <f>IFERROR(__xludf.DUMMYFUNCTION("""COMPUTED_VALUE"""),"net-forest-land, net-wetland, net-shrubgrass")</f>
        <v>net-forest-land, net-wetland, net-shrubgrass</v>
      </c>
      <c r="D7" s="7" t="str">
        <f>IFERROR(__xludf.DUMMYFUNCTION("""COMPUTED_VALUE"""),"Net")</f>
        <v>Net</v>
      </c>
      <c r="E7" s="7"/>
      <c r="F7" s="7"/>
      <c r="G7" s="7"/>
      <c r="H7" s="7"/>
      <c r="I7" s="7"/>
      <c r="J7" s="7"/>
    </row>
    <row r="8" ht="15.75" customHeight="1">
      <c r="A8" s="7"/>
      <c r="B8" s="7"/>
      <c r="C8" s="7"/>
      <c r="D8" s="7"/>
      <c r="E8" s="7"/>
      <c r="F8" s="7"/>
      <c r="G8" s="7"/>
      <c r="H8" s="7"/>
      <c r="I8" s="7"/>
      <c r="J8" s="7"/>
    </row>
    <row r="9" ht="15.75" customHeight="1">
      <c r="A9" s="7"/>
      <c r="B9" s="7"/>
      <c r="C9" s="7"/>
      <c r="D9" s="7"/>
      <c r="E9" s="7"/>
      <c r="F9" s="7"/>
      <c r="G9" s="7"/>
      <c r="H9" s="7"/>
      <c r="I9" s="7"/>
      <c r="J9" s="7"/>
    </row>
    <row r="10" ht="15.75" customHeight="1">
      <c r="A10" s="7"/>
      <c r="B10" s="7"/>
      <c r="C10" s="7"/>
      <c r="D10" s="7"/>
      <c r="E10" s="7"/>
      <c r="F10" s="7"/>
      <c r="G10" s="7"/>
      <c r="H10" s="7"/>
      <c r="I10" s="7"/>
      <c r="J10" s="7"/>
    </row>
    <row r="11" ht="15.75" customHeight="1">
      <c r="A11" s="7"/>
      <c r="B11" s="7"/>
      <c r="C11" s="7"/>
      <c r="D11" s="7"/>
      <c r="E11" s="7"/>
      <c r="F11" s="7"/>
      <c r="G11" s="7"/>
      <c r="H11" s="7"/>
      <c r="I11" s="7"/>
      <c r="J11" s="7"/>
    </row>
    <row r="12" ht="15.75" customHeight="1">
      <c r="A12" s="7"/>
      <c r="B12" s="7"/>
      <c r="C12" s="7"/>
      <c r="D12" s="7"/>
      <c r="E12" s="7"/>
      <c r="F12" s="7"/>
      <c r="G12" s="7"/>
      <c r="H12" s="7"/>
      <c r="I12" s="7"/>
      <c r="J12" s="7"/>
    </row>
    <row r="13" ht="15.75" customHeight="1">
      <c r="A13" s="7"/>
      <c r="B13" s="7"/>
      <c r="C13" s="7"/>
      <c r="D13" s="7"/>
      <c r="E13" s="7"/>
      <c r="F13" s="7"/>
      <c r="G13" s="7"/>
      <c r="H13" s="7"/>
      <c r="I13" s="7"/>
      <c r="J13" s="7"/>
    </row>
    <row r="14" ht="15.75" customHeight="1">
      <c r="A14" s="7"/>
      <c r="B14" s="7"/>
      <c r="C14" s="7"/>
      <c r="D14" s="7"/>
      <c r="E14" s="7"/>
      <c r="F14" s="7"/>
      <c r="G14" s="7"/>
      <c r="H14" s="7"/>
      <c r="I14" s="7"/>
      <c r="J14" s="7"/>
    </row>
    <row r="15" ht="15.75" customHeight="1">
      <c r="A15" s="7"/>
      <c r="B15" s="7"/>
      <c r="C15" s="7"/>
      <c r="D15" s="7"/>
      <c r="E15" s="7"/>
      <c r="F15" s="7"/>
      <c r="G15" s="7"/>
      <c r="H15" s="7"/>
      <c r="I15" s="7"/>
      <c r="J15" s="7"/>
    </row>
    <row r="16" ht="15.75" customHeight="1">
      <c r="A16" s="7"/>
      <c r="B16" s="7"/>
      <c r="C16" s="7"/>
      <c r="D16" s="7"/>
      <c r="E16" s="7"/>
      <c r="F16" s="7"/>
      <c r="G16" s="7"/>
      <c r="H16" s="7"/>
      <c r="I16" s="7"/>
      <c r="J16" s="7"/>
    </row>
    <row r="17" ht="15.75" customHeight="1">
      <c r="A17" s="7"/>
      <c r="B17" s="7"/>
      <c r="C17" s="7"/>
      <c r="D17" s="7"/>
      <c r="E17" s="7"/>
      <c r="F17" s="7"/>
      <c r="G17" s="7"/>
      <c r="H17" s="7"/>
      <c r="I17" s="7"/>
      <c r="J17" s="7"/>
    </row>
    <row r="18" ht="15.75" customHeight="1">
      <c r="A18" s="7"/>
      <c r="B18" s="7"/>
      <c r="C18" s="7"/>
      <c r="D18" s="7"/>
      <c r="E18" s="7"/>
      <c r="F18" s="7"/>
      <c r="G18" s="7"/>
      <c r="H18" s="7"/>
      <c r="I18" s="7"/>
      <c r="J18" s="7"/>
    </row>
    <row r="19" ht="15.75" customHeight="1">
      <c r="A19" s="7"/>
      <c r="B19" s="7"/>
      <c r="C19" s="7"/>
      <c r="D19" s="7"/>
      <c r="E19" s="7"/>
      <c r="F19" s="7"/>
      <c r="G19" s="7"/>
      <c r="H19" s="7"/>
      <c r="I19" s="7"/>
      <c r="J19" s="7"/>
    </row>
    <row r="20" ht="15.75" customHeight="1">
      <c r="A20" s="7"/>
      <c r="B20" s="7"/>
      <c r="C20" s="7"/>
      <c r="D20" s="7"/>
      <c r="E20" s="7"/>
      <c r="F20" s="7"/>
      <c r="G20" s="7"/>
      <c r="H20" s="7"/>
      <c r="I20" s="7"/>
      <c r="J20" s="7"/>
    </row>
    <row r="21" ht="15.75" customHeight="1">
      <c r="A21" s="7"/>
      <c r="B21" s="7"/>
      <c r="C21" s="7"/>
      <c r="D21" s="7"/>
      <c r="E21" s="7"/>
      <c r="F21" s="7"/>
      <c r="G21" s="7"/>
      <c r="H21" s="7"/>
      <c r="I21" s="7"/>
      <c r="J21" s="7"/>
    </row>
    <row r="22" ht="15.75" customHeight="1">
      <c r="A22" s="7"/>
      <c r="B22" s="7"/>
      <c r="C22" s="7"/>
      <c r="D22" s="7"/>
      <c r="E22" s="7"/>
      <c r="F22" s="7"/>
      <c r="G22" s="7"/>
      <c r="H22" s="7"/>
      <c r="I22" s="7"/>
      <c r="J22" s="7"/>
    </row>
    <row r="23" ht="15.75" customHeight="1">
      <c r="A23" s="7"/>
      <c r="B23" s="7"/>
      <c r="C23" s="7"/>
      <c r="D23" s="7"/>
      <c r="E23" s="7"/>
      <c r="F23" s="7"/>
      <c r="G23" s="7"/>
      <c r="H23" s="7"/>
      <c r="I23" s="7"/>
      <c r="J23" s="7"/>
    </row>
    <row r="24" ht="15.75" customHeight="1">
      <c r="A24" s="7"/>
      <c r="B24" s="7"/>
      <c r="C24" s="7"/>
      <c r="D24" s="7"/>
      <c r="E24" s="7"/>
      <c r="F24" s="7"/>
      <c r="G24" s="7"/>
      <c r="H24" s="7"/>
      <c r="I24" s="7"/>
      <c r="J24" s="7"/>
    </row>
    <row r="25" ht="15.75" customHeight="1">
      <c r="A25" s="7"/>
      <c r="B25" s="7"/>
      <c r="C25" s="7"/>
      <c r="D25" s="7"/>
      <c r="E25" s="7"/>
      <c r="F25" s="7"/>
      <c r="G25" s="7"/>
      <c r="H25" s="7"/>
      <c r="I25" s="7"/>
      <c r="J25" s="7"/>
    </row>
    <row r="26" ht="15.75" customHeight="1">
      <c r="A26" s="7"/>
      <c r="B26" s="7"/>
      <c r="C26" s="7"/>
      <c r="D26" s="7"/>
      <c r="E26" s="7"/>
      <c r="F26" s="7"/>
      <c r="G26" s="7"/>
      <c r="H26" s="7"/>
      <c r="I26" s="7"/>
      <c r="J26" s="7"/>
    </row>
    <row r="27" ht="15.75" customHeight="1">
      <c r="A27" s="7"/>
      <c r="B27" s="7"/>
      <c r="C27" s="7"/>
      <c r="D27" s="7"/>
      <c r="E27" s="7"/>
      <c r="F27" s="7"/>
      <c r="G27" s="7"/>
      <c r="H27" s="7"/>
      <c r="I27" s="7"/>
      <c r="J27" s="7"/>
    </row>
    <row r="28" ht="15.75" customHeight="1">
      <c r="A28" s="7"/>
      <c r="B28" s="7"/>
      <c r="C28" s="7"/>
      <c r="D28" s="7"/>
      <c r="E28" s="7"/>
      <c r="F28" s="7"/>
      <c r="G28" s="7"/>
      <c r="H28" s="7"/>
      <c r="I28" s="7"/>
      <c r="J28" s="7"/>
    </row>
    <row r="29" ht="15.75" customHeight="1">
      <c r="A29" s="7"/>
      <c r="B29" s="7"/>
      <c r="C29" s="7"/>
      <c r="D29" s="7"/>
      <c r="E29" s="7"/>
      <c r="F29" s="7"/>
      <c r="G29" s="7"/>
      <c r="H29" s="7"/>
      <c r="I29" s="7"/>
      <c r="J29" s="7"/>
    </row>
    <row r="30" ht="15.75" customHeight="1">
      <c r="A30" s="7"/>
      <c r="B30" s="7"/>
      <c r="C30" s="7"/>
      <c r="D30" s="7"/>
      <c r="E30" s="7"/>
      <c r="F30" s="7"/>
      <c r="G30" s="7"/>
      <c r="H30" s="7"/>
      <c r="I30" s="7"/>
      <c r="J30" s="7"/>
    </row>
    <row r="31" ht="15.75" customHeight="1">
      <c r="A31" s="7"/>
      <c r="B31" s="7"/>
      <c r="C31" s="7"/>
      <c r="D31" s="7"/>
      <c r="E31" s="7"/>
      <c r="F31" s="7"/>
      <c r="G31" s="7"/>
      <c r="H31" s="7"/>
      <c r="I31" s="7"/>
      <c r="J31" s="7"/>
    </row>
    <row r="32" ht="15.75" customHeight="1">
      <c r="A32" s="7"/>
      <c r="B32" s="7"/>
      <c r="C32" s="7"/>
      <c r="D32" s="7"/>
      <c r="E32" s="7"/>
      <c r="F32" s="7"/>
      <c r="G32" s="7"/>
      <c r="H32" s="7"/>
      <c r="I32" s="7"/>
      <c r="J32" s="7"/>
    </row>
    <row r="33" ht="15.75" customHeight="1">
      <c r="A33" s="7"/>
      <c r="B33" s="7"/>
      <c r="C33" s="7"/>
      <c r="D33" s="7"/>
      <c r="E33" s="7"/>
      <c r="F33" s="7"/>
      <c r="G33" s="7"/>
      <c r="H33" s="7"/>
      <c r="I33" s="7"/>
      <c r="J33" s="7"/>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