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limate-trace-subtract-out" sheetId="2" r:id="rId5"/>
    <sheet state="visible" name="unfccc-subtract-out" sheetId="3" r:id="rId6"/>
    <sheet state="visible" name="carbon-monitor-subtract-out" sheetId="4" r:id="rId7"/>
    <sheet state="visible" name="edgar-subtract-out" sheetId="5" r:id="rId8"/>
    <sheet state="visible" name="cait-subtract-out" sheetId="6" r:id="rId9"/>
    <sheet state="visible" name="pik-tp-subtract-out" sheetId="7" r:id="rId10"/>
    <sheet state="visible" name="faostat-subtract-out" sheetId="8" r:id="rId11"/>
  </sheets>
  <definedNames/>
  <calcPr/>
</workbook>
</file>

<file path=xl/sharedStrings.xml><?xml version="1.0" encoding="utf-8"?>
<sst xmlns="http://schemas.openxmlformats.org/spreadsheetml/2006/main" count="35" uniqueCount="30">
  <si>
    <r>
      <rPr>
        <rFont val="Arial"/>
        <color theme="1"/>
      </rPr>
      <t xml:space="preserve">In general, </t>
    </r>
    <r>
      <rPr>
        <rFont val="Arial"/>
        <b/>
        <color theme="1"/>
      </rPr>
      <t>subtract-out tabs</t>
    </r>
    <r>
      <rPr>
        <rFont val="Arial"/>
        <color theme="1"/>
      </rPr>
      <t xml:space="preserve"> contain gap filling equations intended to be used in the </t>
    </r>
    <r>
      <rPr>
        <rFont val="Arial"/>
        <b/>
        <color theme="1"/>
      </rPr>
      <t>subtract-out tools</t>
    </r>
    <r>
      <rPr>
        <rFont val="Arial"/>
        <color theme="1"/>
      </rPr>
      <t xml:space="preserve">. Code for automatically turning those sheets into a dictionary object for use in that repo can be found </t>
    </r>
    <r>
      <rPr>
        <rFont val="Arial"/>
        <color rgb="FF000000"/>
      </rPr>
      <t>here</t>
    </r>
    <r>
      <rPr>
        <rFont val="Arial"/>
        <color theme="1"/>
      </rPr>
      <t xml:space="preserve">. These comparisons are to be used for SECTOR TO SECTOR comparisons, NOT aggregate (ie. country level or global) estimates / comparisons. </t>
    </r>
  </si>
  <si>
    <t>Tab</t>
  </si>
  <si>
    <t>What it is</t>
  </si>
  <si>
    <t>Latest year available</t>
  </si>
  <si>
    <t>Notes</t>
  </si>
  <si>
    <t>External Link</t>
  </si>
  <si>
    <t>unfccc-subtract-out</t>
  </si>
  <si>
    <t xml:space="preserve">Gap filling equations to build out unfccc sectors and aggregate climate-trace sectors for comparison to other inventories </t>
  </si>
  <si>
    <t>2021 for Annex 1 countries; varies for non-annex 1 countries</t>
  </si>
  <si>
    <t xml:space="preserve">Where 'Comparison Subsector' is not provided, the unfccc annex 1 and non-annex 1 columns are used to generate the sector level comparison dictionary.  </t>
  </si>
  <si>
    <t>unfccc-aggregate-up</t>
  </si>
  <si>
    <t>Additive sectors and subsectors for generating global and country totals to be compared with equivalent (or near equivalent) climate trace sectors</t>
  </si>
  <si>
    <t>edgar-subtract-out</t>
  </si>
  <si>
    <t>Gap filling equations that use EDGAR estimates (with unfccc estimates subtracted when needed) in order to make direct comparisons between EDGAR and Climate TRACE sectors</t>
  </si>
  <si>
    <t>edgar-aggregate-up</t>
  </si>
  <si>
    <t>cait-aggregate-up</t>
  </si>
  <si>
    <t>https://www.climatewatchdata.org/ghg-emissions;
https://wri-sites.s3.us-east-1.amazonaws.com/climatewatch.org/www.climatewatch.org/climate-watch/wri_metadata/CW_GHG_Method_Note.pdf</t>
  </si>
  <si>
    <t>cait-subtract-out</t>
  </si>
  <si>
    <t>Gap filling equations that use CAIT estimates (with unfccc estimates subtracted when needed) in order to make direct comparisons between CAIT and Climate TRACE sectors</t>
  </si>
  <si>
    <t>pik-tp-aggregate-up</t>
  </si>
  <si>
    <t>- Manufacturing is not a perfect 1:1 comparison -- they report fuel combustion under 1.A and we report those emissions under 2
- Energy Industries, Fugitive Emissions, Buildings, and Transport are all aggregated together</t>
  </si>
  <si>
    <t>https://zenodo.org/record/7727475#.ZRSIN-zMI-Q; https://www.pik-potsdam.de/paris-reality-check/primap-hist/PRIMAP-hist_v2.3.1_data-description.pdf</t>
  </si>
  <si>
    <t>pik-tp-subtract-out</t>
  </si>
  <si>
    <t>Gap filling equations that use PIK estimates (with unfccc estimates subtracted when needed) in order to make direct comparisons between PIK and Climate TRACE sectors</t>
  </si>
  <si>
    <t>faostat-subtract-out</t>
  </si>
  <si>
    <t>Gap filling equations that use FAOSTAT estimates (with unfccc estimates subtracted when needed) in order to make direct comparisons between FAOSTAT and Climate TRACE sectors</t>
  </si>
  <si>
    <t>https://www.fao.org/faostat/en/#data/GT</t>
  </si>
  <si>
    <t>gcp-aggregate-up</t>
  </si>
  <si>
    <t>Note: Compare CO2 (fuel combustion only, do not add in fugitive methane! Comparison is not a perfect 1:1</t>
  </si>
  <si>
    <t>https://www.icos-cp.eu/science-and-impact/global-carbon-budget/2022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</si>
</sst>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u/>
      <color rgb="FF1155CC"/>
      <name val="Arial"/>
    </font>
    <font>
      <sz val="9.0"/>
      <color rgb="FF000000"/>
      <name val="&quot;Google Sans Mono&quot;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horizontal="right" shrinkToFit="0" vertical="bottom" wrapText="1"/>
    </xf>
    <xf borderId="0" fillId="0" fontId="3" numFmtId="0" xfId="0" applyAlignment="1" applyFont="1">
      <alignment shrinkToFit="0" vertical="bottom" wrapText="1"/>
    </xf>
    <xf borderId="0" fillId="2" fontId="4" numFmtId="0" xfId="0" applyFill="1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ri-sites.s3.us-east-1.amazonaws.com/climatewatch.org/www.climatewatch.org/climate-watch/wri_metadata/CW_GHG_Method_Note.pdf" TargetMode="External"/><Relationship Id="rId2" Type="http://schemas.openxmlformats.org/officeDocument/2006/relationships/hyperlink" Target="https://www.fao.org/faostat/en/" TargetMode="External"/><Relationship Id="rId3" Type="http://schemas.openxmlformats.org/officeDocument/2006/relationships/hyperlink" Target="https://www.icos-cp.eu/science-and-impact/global-carbon-budget/2022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1.63"/>
  </cols>
  <sheetData>
    <row r="1">
      <c r="A1" s="1" t="s">
        <v>0</v>
      </c>
    </row>
    <row r="2">
      <c r="A2" s="2"/>
      <c r="B2" s="2"/>
      <c r="C2" s="2"/>
      <c r="D2" s="2"/>
      <c r="E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>
      <c r="A4" s="4" t="s">
        <v>6</v>
      </c>
      <c r="B4" s="5" t="s">
        <v>7</v>
      </c>
      <c r="C4" s="5" t="s">
        <v>8</v>
      </c>
      <c r="D4" s="5" t="s">
        <v>9</v>
      </c>
      <c r="E4" s="5"/>
    </row>
    <row r="5">
      <c r="A5" s="4" t="s">
        <v>10</v>
      </c>
      <c r="B5" s="5" t="s">
        <v>11</v>
      </c>
      <c r="C5" s="5" t="s">
        <v>8</v>
      </c>
      <c r="D5" s="2"/>
      <c r="E5" s="2"/>
    </row>
    <row r="6">
      <c r="A6" s="4" t="s">
        <v>12</v>
      </c>
      <c r="B6" s="5" t="s">
        <v>13</v>
      </c>
      <c r="C6" s="6">
        <v>2021.0</v>
      </c>
      <c r="D6" s="5"/>
      <c r="E6" s="2"/>
    </row>
    <row r="7">
      <c r="A7" s="4" t="s">
        <v>14</v>
      </c>
      <c r="B7" s="5" t="s">
        <v>11</v>
      </c>
      <c r="C7" s="6">
        <v>2021.0</v>
      </c>
      <c r="D7" s="2"/>
      <c r="E7" s="2"/>
    </row>
    <row r="8">
      <c r="A8" s="4" t="s">
        <v>15</v>
      </c>
      <c r="B8" s="5" t="s">
        <v>11</v>
      </c>
      <c r="C8" s="6">
        <v>2020.0</v>
      </c>
      <c r="D8" s="2"/>
      <c r="E8" s="7" t="s">
        <v>16</v>
      </c>
    </row>
    <row r="9">
      <c r="A9" s="4" t="s">
        <v>17</v>
      </c>
      <c r="B9" s="5" t="s">
        <v>18</v>
      </c>
      <c r="C9" s="6">
        <v>2020.0</v>
      </c>
      <c r="D9" s="2"/>
      <c r="E9" s="2"/>
    </row>
    <row r="10">
      <c r="A10" s="4" t="s">
        <v>19</v>
      </c>
      <c r="B10" s="5" t="s">
        <v>11</v>
      </c>
      <c r="C10" s="6">
        <v>2021.0</v>
      </c>
      <c r="D10" s="5" t="s">
        <v>20</v>
      </c>
      <c r="E10" s="5" t="s">
        <v>21</v>
      </c>
    </row>
    <row r="11">
      <c r="A11" s="4" t="s">
        <v>22</v>
      </c>
      <c r="B11" s="5" t="s">
        <v>23</v>
      </c>
      <c r="C11" s="6">
        <v>2021.0</v>
      </c>
      <c r="D11" s="2"/>
      <c r="E11" s="2"/>
    </row>
    <row r="12">
      <c r="A12" s="4" t="s">
        <v>24</v>
      </c>
      <c r="B12" s="5" t="s">
        <v>25</v>
      </c>
      <c r="C12" s="6">
        <v>2020.0</v>
      </c>
      <c r="D12" s="2"/>
      <c r="E12" s="7" t="s">
        <v>26</v>
      </c>
    </row>
    <row r="13">
      <c r="A13" s="4" t="s">
        <v>27</v>
      </c>
      <c r="B13" s="5" t="s">
        <v>11</v>
      </c>
      <c r="C13" s="6">
        <v>2022.0</v>
      </c>
      <c r="D13" s="5" t="s">
        <v>28</v>
      </c>
      <c r="E13" s="7" t="s">
        <v>29</v>
      </c>
    </row>
  </sheetData>
  <mergeCells count="1">
    <mergeCell ref="A1:E1"/>
  </mergeCells>
  <hyperlinks>
    <hyperlink r:id="rId1" ref="E8"/>
    <hyperlink r:id="rId2" location="data/GT" ref="E12"/>
    <hyperlink r:id="rId3" ref="E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""climate-trace-graph-utility!A1:E200"")"),"Annex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IFERROR(__xludf.DUMMYFUNCTION("""COMPUTED_VALUE"""),"climate-trace")</f>
        <v>climate-trace</v>
      </c>
      <c r="D2" s="9" t="str">
        <f>IFERROR(__xludf.DUMMYFUNCTION("""COMPUTED_VALUE"""),"electricity-generation")</f>
        <v>electricity-generation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IFERROR(__xludf.DUMMYFUNCTION("""COMPUTED_VALUE"""),"other-energy-use")</f>
        <v>other-energy-use</v>
      </c>
      <c r="C3" s="9" t="str">
        <f>IFERROR(__xludf.DUMMYFUNCTION("""COMPUTED_VALUE"""),"climate-trace")</f>
        <v>climate-trace</v>
      </c>
      <c r="D3" s="9" t="str">
        <f>IFERROR(__xludf.DUMMYFUNCTION("""COMPUTED_VALUE"""),"other-energy-use")</f>
        <v>other-energy-use</v>
      </c>
      <c r="E3" s="9">
        <f>IFERROR(__xludf.DUMMYFUNCTION("""COMPUTED_VALUE"""),1.0)</f>
        <v>1</v>
      </c>
    </row>
    <row r="4">
      <c r="A4" s="9" t="b">
        <f>IFERROR(__xludf.DUMMYFUNCTION("""COMPUTED_VALUE"""),TRUE)</f>
        <v>1</v>
      </c>
      <c r="B4" s="9" t="str">
        <f>IFERROR(__xludf.DUMMYFUNCTION("""COMPUTED_VALUE"""),"domestic-aviation")</f>
        <v>domestic-aviation</v>
      </c>
      <c r="C4" s="9" t="str">
        <f>IFERROR(__xludf.DUMMYFUNCTION("""COMPUTED_VALUE"""),"climate-trace")</f>
        <v>climate-trace</v>
      </c>
      <c r="D4" s="9" t="str">
        <f>IFERROR(__xludf.DUMMYFUNCTION("""COMPUTED_VALUE"""),"domestic-aviation")</f>
        <v>domestic-aviation</v>
      </c>
      <c r="E4" s="9">
        <f>IFERROR(__xludf.DUMMYFUNCTION("""COMPUTED_VALUE"""),1.0)</f>
        <v>1</v>
      </c>
    </row>
    <row r="5">
      <c r="A5" s="9" t="b">
        <f>IFERROR(__xludf.DUMMYFUNCTION("""COMPUTED_VALUE"""),TRUE)</f>
        <v>1</v>
      </c>
      <c r="B5" s="9" t="str">
        <f>IFERROR(__xludf.DUMMYFUNCTION("""COMPUTED_VALUE"""),"international-aviation")</f>
        <v>international-aviation</v>
      </c>
      <c r="C5" s="9" t="str">
        <f>IFERROR(__xludf.DUMMYFUNCTION("""COMPUTED_VALUE"""),"climate-trace")</f>
        <v>climate-trace</v>
      </c>
      <c r="D5" s="9" t="str">
        <f>IFERROR(__xludf.DUMMYFUNCTION("""COMPUTED_VALUE"""),"international-aviation")</f>
        <v>international-aviation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IFERROR(__xludf.DUMMYFUNCTION("""COMPUTED_VALUE"""),"road-transportation")</f>
        <v>road-transportation</v>
      </c>
      <c r="C6" s="9" t="str">
        <f>IFERROR(__xludf.DUMMYFUNCTION("""COMPUTED_VALUE"""),"climate-trace")</f>
        <v>climate-trace</v>
      </c>
      <c r="D6" s="9" t="str">
        <f>IFERROR(__xludf.DUMMYFUNCTION("""COMPUTED_VALUE"""),"road-transportation")</f>
        <v>road-transportation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IFERROR(__xludf.DUMMYFUNCTION("""COMPUTED_VALUE"""),"international-shipping")</f>
        <v>international-shipping</v>
      </c>
      <c r="C7" s="9" t="str">
        <f>IFERROR(__xludf.DUMMYFUNCTION("""COMPUTED_VALUE"""),"climate-trace")</f>
        <v>climate-trace</v>
      </c>
      <c r="D7" s="9" t="str">
        <f>IFERROR(__xludf.DUMMYFUNCTION("""COMPUTED_VALUE"""),"international-shipping")</f>
        <v>international-shipping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IFERROR(__xludf.DUMMYFUNCTION("""COMPUTED_VALUE"""),"domestic-shipping")</f>
        <v>domestic-shipping</v>
      </c>
      <c r="C8" s="9" t="str">
        <f>IFERROR(__xludf.DUMMYFUNCTION("""COMPUTED_VALUE"""),"climate-trace")</f>
        <v>climate-trace</v>
      </c>
      <c r="D8" s="9" t="str">
        <f>IFERROR(__xludf.DUMMYFUNCTION("""COMPUTED_VALUE"""),"domestic-shipping")</f>
        <v>domestic-shipping</v>
      </c>
      <c r="E8" s="9">
        <f>IFERROR(__xludf.DUMMYFUNCTION("""COMPUTED_VALUE"""),1.0)</f>
        <v>1</v>
      </c>
    </row>
    <row r="9">
      <c r="A9" s="9" t="b">
        <f>IFERROR(__xludf.DUMMYFUNCTION("""COMPUTED_VALUE"""),TRUE)</f>
        <v>1</v>
      </c>
      <c r="B9" s="9" t="str">
        <f>IFERROR(__xludf.DUMMYFUNCTION("""COMPUTED_VALUE"""),"railways")</f>
        <v>railways</v>
      </c>
      <c r="C9" s="9" t="str">
        <f>IFERROR(__xludf.DUMMYFUNCTION("""COMPUTED_VALUE"""),"climate-trace")</f>
        <v>climate-trace</v>
      </c>
      <c r="D9" s="9" t="str">
        <f>IFERROR(__xludf.DUMMYFUNCTION("""COMPUTED_VALUE"""),"railways")</f>
        <v>railways</v>
      </c>
      <c r="E9" s="9">
        <f>IFERROR(__xludf.DUMMYFUNCTION("""COMPUTED_VALUE"""),1.0)</f>
        <v>1</v>
      </c>
    </row>
    <row r="10">
      <c r="A10" s="9" t="b">
        <f>IFERROR(__xludf.DUMMYFUNCTION("""COMPUTED_VALUE"""),TRUE)</f>
        <v>1</v>
      </c>
      <c r="B10" s="9" t="str">
        <f>IFERROR(__xludf.DUMMYFUNCTION("""COMPUTED_VALUE"""),"other-transport")</f>
        <v>other-transport</v>
      </c>
      <c r="C10" s="9" t="str">
        <f>IFERROR(__xludf.DUMMYFUNCTION("""COMPUTED_VALUE"""),"climate-trace")</f>
        <v>climate-trace</v>
      </c>
      <c r="D10" s="9" t="str">
        <f>IFERROR(__xludf.DUMMYFUNCTION("""COMPUTED_VALUE"""),"other-transport")</f>
        <v>other-transport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IFERROR(__xludf.DUMMYFUNCTION("""COMPUTED_VALUE"""),"residential-and-commercial-onsite-fuel-usage")</f>
        <v>residential-and-commercial-onsite-fuel-usage</v>
      </c>
      <c r="C11" s="9" t="str">
        <f>IFERROR(__xludf.DUMMYFUNCTION("""COMPUTED_VALUE"""),"climate-trace")</f>
        <v>climate-trace</v>
      </c>
      <c r="D11" s="9" t="str">
        <f>IFERROR(__xludf.DUMMYFUNCTION("""COMPUTED_VALUE"""),"residential-and-commercial-onsite-fuel-usage")</f>
        <v>residential-and-commercial-onsite-fuel-usage</v>
      </c>
      <c r="E11" s="9">
        <f>IFERROR(__xludf.DUMMYFUNCTION("""COMPUTED_VALUE"""),1.0)</f>
        <v>1</v>
      </c>
    </row>
    <row r="12">
      <c r="A12" s="9" t="b">
        <f>IFERROR(__xludf.DUMMYFUNCTION("""COMPUTED_VALUE"""),TRUE)</f>
        <v>1</v>
      </c>
      <c r="B12" s="9" t="str">
        <f>IFERROR(__xludf.DUMMYFUNCTION("""COMPUTED_VALUE"""),"other-onsite-fuel-usage")</f>
        <v>other-onsite-fuel-usage</v>
      </c>
      <c r="C12" s="9" t="str">
        <f>IFERROR(__xludf.DUMMYFUNCTION("""COMPUTED_VALUE"""),"climate-trace")</f>
        <v>climate-trace</v>
      </c>
      <c r="D12" s="9" t="str">
        <f>IFERROR(__xludf.DUMMYFUNCTION("""COMPUTED_VALUE"""),"other-onsite-fuel-usage")</f>
        <v>other-onsite-fuel-usage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IFERROR(__xludf.DUMMYFUNCTION("""COMPUTED_VALUE"""),"coal-mining")</f>
        <v>coal-mining</v>
      </c>
      <c r="C13" s="9" t="str">
        <f>IFERROR(__xludf.DUMMYFUNCTION("""COMPUTED_VALUE"""),"climate-trace")</f>
        <v>climate-trace</v>
      </c>
      <c r="D13" s="9" t="str">
        <f>IFERROR(__xludf.DUMMYFUNCTION("""COMPUTED_VALUE"""),"coal-mining")</f>
        <v>coal-mining</v>
      </c>
      <c r="E13" s="9">
        <f>IFERROR(__xludf.DUMMYFUNCTION("""COMPUTED_VALUE"""),1.0)</f>
        <v>1</v>
      </c>
    </row>
    <row r="14">
      <c r="A14" s="9" t="b">
        <f>IFERROR(__xludf.DUMMYFUNCTION("""COMPUTED_VALUE"""),TRUE)</f>
        <v>1</v>
      </c>
      <c r="B14" s="9" t="str">
        <f>IFERROR(__xludf.DUMMYFUNCTION("""COMPUTED_VALUE"""),"solid-fuel-transformation")</f>
        <v>solid-fuel-transformation</v>
      </c>
      <c r="C14" s="9" t="str">
        <f>IFERROR(__xludf.DUMMYFUNCTION("""COMPUTED_VALUE"""),"climate-trace")</f>
        <v>climate-trace</v>
      </c>
      <c r="D14" s="9" t="str">
        <f>IFERROR(__xludf.DUMMYFUNCTION("""COMPUTED_VALUE"""),"solid-fuel-transformation")</f>
        <v>solid-fuel-transformation</v>
      </c>
      <c r="E14" s="9">
        <f>IFERROR(__xludf.DUMMYFUNCTION("""COMPUTED_VALUE"""),1.0)</f>
        <v>1</v>
      </c>
    </row>
    <row r="15">
      <c r="A15" s="9" t="b">
        <f>IFERROR(__xludf.DUMMYFUNCTION("""COMPUTED_VALUE"""),TRUE)</f>
        <v>1</v>
      </c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IFERROR(__xludf.DUMMYFUNCTION("""COMPUTED_VALUE"""),"climate-trace")</f>
        <v>climate-trace</v>
      </c>
      <c r="D15" s="9" t="str">
        <f>IFERROR(__xludf.DUMMYFUNCTION("""COMPUTED_VALUE"""),"oil-and-gas-production-and-transport")</f>
        <v>oil-and-gas-production-and-transport</v>
      </c>
      <c r="E15" s="9">
        <f>IFERROR(__xludf.DUMMYFUNCTION("""COMPUTED_VALUE"""),1.0)</f>
        <v>1</v>
      </c>
    </row>
    <row r="16">
      <c r="A16" s="9" t="b">
        <f>IFERROR(__xludf.DUMMYFUNCTION("""COMPUTED_VALUE"""),TRUE)</f>
        <v>1</v>
      </c>
      <c r="B16" s="9" t="str">
        <f>IFERROR(__xludf.DUMMYFUNCTION("""COMPUTED_VALUE"""),"oil-and-gas-refining")</f>
        <v>oil-and-gas-refining</v>
      </c>
      <c r="C16" s="9" t="str">
        <f>IFERROR(__xludf.DUMMYFUNCTION("""COMPUTED_VALUE"""),"climate-trace")</f>
        <v>climate-trace</v>
      </c>
      <c r="D16" s="9" t="str">
        <f>IFERROR(__xludf.DUMMYFUNCTION("""COMPUTED_VALUE"""),"oil-and-gas-refining")</f>
        <v>oil-and-gas-refining</v>
      </c>
      <c r="E16" s="9">
        <f>IFERROR(__xludf.DUMMYFUNCTION("""COMPUTED_VALUE"""),1.0)</f>
        <v>1</v>
      </c>
    </row>
    <row r="17">
      <c r="A17" s="9" t="b">
        <f>IFERROR(__xludf.DUMMYFUNCTION("""COMPUTED_VALUE"""),TRUE)</f>
        <v>1</v>
      </c>
      <c r="B17" s="9" t="str">
        <f>IFERROR(__xludf.DUMMYFUNCTION("""COMPUTED_VALUE"""),"other-fossil-fuel-operations")</f>
        <v>other-fossil-fuel-operations</v>
      </c>
      <c r="C17" s="9" t="str">
        <f>IFERROR(__xludf.DUMMYFUNCTION("""COMPUTED_VALUE"""),"climate-trace")</f>
        <v>climate-trace</v>
      </c>
      <c r="D17" s="9" t="str">
        <f>IFERROR(__xludf.DUMMYFUNCTION("""COMPUTED_VALUE"""),"other-fossil-fuel-operations")</f>
        <v>other-fossil-fuel-operations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IFERROR(__xludf.DUMMYFUNCTION("""COMPUTED_VALUE"""),"petrochemicals")</f>
        <v>petrochemicals</v>
      </c>
      <c r="C18" s="9" t="str">
        <f>IFERROR(__xludf.DUMMYFUNCTION("""COMPUTED_VALUE"""),"climate-trace")</f>
        <v>climate-trace</v>
      </c>
      <c r="D18" s="9" t="str">
        <f>IFERROR(__xludf.DUMMYFUNCTION("""COMPUTED_VALUE"""),"petrochemicals")</f>
        <v>petrochemicals</v>
      </c>
      <c r="E18" s="9">
        <f>IFERROR(__xludf.DUMMYFUNCTION("""COMPUTED_VALUE"""),1.0)</f>
        <v>1</v>
      </c>
    </row>
    <row r="19">
      <c r="A19" s="9" t="b">
        <f>IFERROR(__xludf.DUMMYFUNCTION("""COMPUTED_VALUE"""),TRUE)</f>
        <v>1</v>
      </c>
      <c r="B19" s="9" t="str">
        <f>IFERROR(__xludf.DUMMYFUNCTION("""COMPUTED_VALUE"""),"cement")</f>
        <v>cement</v>
      </c>
      <c r="C19" s="9" t="str">
        <f>IFERROR(__xludf.DUMMYFUNCTION("""COMPUTED_VALUE"""),"climate-trace")</f>
        <v>climate-trace</v>
      </c>
      <c r="D19" s="9" t="str">
        <f>IFERROR(__xludf.DUMMYFUNCTION("""COMPUTED_VALUE"""),"cement")</f>
        <v>cement</v>
      </c>
      <c r="E19" s="9">
        <f>IFERROR(__xludf.DUMMYFUNCTION("""COMPUTED_VALUE"""),1.0)</f>
        <v>1</v>
      </c>
    </row>
    <row r="20">
      <c r="A20" s="9" t="b">
        <f>IFERROR(__xludf.DUMMYFUNCTION("""COMPUTED_VALUE"""),TRUE)</f>
        <v>1</v>
      </c>
      <c r="B20" s="9" t="str">
        <f>IFERROR(__xludf.DUMMYFUNCTION("""COMPUTED_VALUE"""),"chemicals")</f>
        <v>chemicals</v>
      </c>
      <c r="C20" s="9" t="str">
        <f>IFERROR(__xludf.DUMMYFUNCTION("""COMPUTED_VALUE"""),"climate-trace")</f>
        <v>climate-trace</v>
      </c>
      <c r="D20" s="9" t="str">
        <f>IFERROR(__xludf.DUMMYFUNCTION("""COMPUTED_VALUE"""),"chemicals")</f>
        <v>chemicals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IFERROR(__xludf.DUMMYFUNCTION("""COMPUTED_VALUE"""),"steel")</f>
        <v>steel</v>
      </c>
      <c r="C21" s="9" t="str">
        <f>IFERROR(__xludf.DUMMYFUNCTION("""COMPUTED_VALUE"""),"climate-trace")</f>
        <v>climate-trace</v>
      </c>
      <c r="D21" s="9" t="str">
        <f>IFERROR(__xludf.DUMMYFUNCTION("""COMPUTED_VALUE"""),"steel")</f>
        <v>steel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IFERROR(__xludf.DUMMYFUNCTION("""COMPUTED_VALUE"""),"aluminum")</f>
        <v>aluminum</v>
      </c>
      <c r="C22" s="9" t="str">
        <f>IFERROR(__xludf.DUMMYFUNCTION("""COMPUTED_VALUE"""),"climate-trace")</f>
        <v>climate-trace</v>
      </c>
      <c r="D22" s="9" t="str">
        <f>IFERROR(__xludf.DUMMYFUNCTION("""COMPUTED_VALUE"""),"aluminum")</f>
        <v>aluminum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IFERROR(__xludf.DUMMYFUNCTION("""COMPUTED_VALUE"""),"pulp-and-paper")</f>
        <v>pulp-and-paper</v>
      </c>
      <c r="C23" s="9" t="str">
        <f>IFERROR(__xludf.DUMMYFUNCTION("""COMPUTED_VALUE"""),"climate-trace")</f>
        <v>climate-trace</v>
      </c>
      <c r="D23" s="9" t="str">
        <f>IFERROR(__xludf.DUMMYFUNCTION("""COMPUTED_VALUE"""),"pulp-and-paper")</f>
        <v>pulp-and-paper</v>
      </c>
      <c r="E23" s="9">
        <f>IFERROR(__xludf.DUMMYFUNCTION("""COMPUTED_VALUE"""),1.0)</f>
        <v>1</v>
      </c>
    </row>
    <row r="24">
      <c r="A24" s="9" t="b">
        <f>IFERROR(__xludf.DUMMYFUNCTION("""COMPUTED_VALUE"""),TRUE)</f>
        <v>1</v>
      </c>
      <c r="B24" s="9" t="str">
        <f>IFERROR(__xludf.DUMMYFUNCTION("""COMPUTED_VALUE"""),"other-manufacturing")</f>
        <v>other-manufacturing</v>
      </c>
      <c r="C24" s="9" t="str">
        <f>IFERROR(__xludf.DUMMYFUNCTION("""COMPUTED_VALUE"""),"climate-trace")</f>
        <v>climate-trace</v>
      </c>
      <c r="D24" s="9" t="str">
        <f>IFERROR(__xludf.DUMMYFUNCTION("""COMPUTED_VALUE"""),"other-manufacturing")</f>
        <v>other-manufacturing</v>
      </c>
      <c r="E24" s="9">
        <f>IFERROR(__xludf.DUMMYFUNCTION("""COMPUTED_VALUE"""),1.0)</f>
        <v>1</v>
      </c>
    </row>
    <row r="25">
      <c r="A25" s="9" t="b">
        <f>IFERROR(__xludf.DUMMYFUNCTION("""COMPUTED_VALUE"""),TRUE)</f>
        <v>1</v>
      </c>
      <c r="B25" s="9" t="str">
        <f>IFERROR(__xludf.DUMMYFUNCTION("""COMPUTED_VALUE"""),"bauxite-mining")</f>
        <v>bauxite-mining</v>
      </c>
      <c r="C25" s="9" t="str">
        <f>IFERROR(__xludf.DUMMYFUNCTION("""COMPUTED_VALUE"""),"climate-trace")</f>
        <v>climate-trace</v>
      </c>
      <c r="D25" s="9" t="str">
        <f>IFERROR(__xludf.DUMMYFUNCTION("""COMPUTED_VALUE"""),"bauxite-mining")</f>
        <v>bauxite-mining</v>
      </c>
      <c r="E25" s="9">
        <f>IFERROR(__xludf.DUMMYFUNCTION("""COMPUTED_VALUE"""),1.0)</f>
        <v>1</v>
      </c>
    </row>
    <row r="26">
      <c r="A26" s="9" t="b">
        <f>IFERROR(__xludf.DUMMYFUNCTION("""COMPUTED_VALUE"""),TRUE)</f>
        <v>1</v>
      </c>
      <c r="B26" s="9" t="str">
        <f>IFERROR(__xludf.DUMMYFUNCTION("""COMPUTED_VALUE"""),"iron-mining")</f>
        <v>iron-mining</v>
      </c>
      <c r="C26" s="9" t="str">
        <f>IFERROR(__xludf.DUMMYFUNCTION("""COMPUTED_VALUE"""),"climate-trace")</f>
        <v>climate-trace</v>
      </c>
      <c r="D26" s="9" t="str">
        <f>IFERROR(__xludf.DUMMYFUNCTION("""COMPUTED_VALUE"""),"iron-mining")</f>
        <v>iron-mining</v>
      </c>
      <c r="E26" s="9">
        <f>IFERROR(__xludf.DUMMYFUNCTION("""COMPUTED_VALUE"""),1.0)</f>
        <v>1</v>
      </c>
    </row>
    <row r="27">
      <c r="A27" s="9" t="b">
        <f>IFERROR(__xludf.DUMMYFUNCTION("""COMPUTED_VALUE"""),TRUE)</f>
        <v>1</v>
      </c>
      <c r="B27" s="9" t="str">
        <f>IFERROR(__xludf.DUMMYFUNCTION("""COMPUTED_VALUE"""),"copper-mining")</f>
        <v>copper-mining</v>
      </c>
      <c r="C27" s="9" t="str">
        <f>IFERROR(__xludf.DUMMYFUNCTION("""COMPUTED_VALUE"""),"climate-trace")</f>
        <v>climate-trace</v>
      </c>
      <c r="D27" s="9" t="str">
        <f>IFERROR(__xludf.DUMMYFUNCTION("""COMPUTED_VALUE"""),"copper-mining")</f>
        <v>copper-mining</v>
      </c>
      <c r="E27" s="9">
        <f>IFERROR(__xludf.DUMMYFUNCTION("""COMPUTED_VALUE"""),1.0)</f>
        <v>1</v>
      </c>
    </row>
    <row r="28">
      <c r="A28" s="9" t="b">
        <f>IFERROR(__xludf.DUMMYFUNCTION("""COMPUTED_VALUE"""),TRUE)</f>
        <v>1</v>
      </c>
      <c r="B28" s="9" t="str">
        <f>IFERROR(__xludf.DUMMYFUNCTION("""COMPUTED_VALUE"""),"rock-quarrying")</f>
        <v>rock-quarrying</v>
      </c>
      <c r="C28" s="9" t="str">
        <f>IFERROR(__xludf.DUMMYFUNCTION("""COMPUTED_VALUE"""),"climate-trace")</f>
        <v>climate-trace</v>
      </c>
      <c r="D28" s="9" t="str">
        <f>IFERROR(__xludf.DUMMYFUNCTION("""COMPUTED_VALUE"""),"rock-quarrying")</f>
        <v>rock-quarrying</v>
      </c>
      <c r="E28" s="9">
        <f>IFERROR(__xludf.DUMMYFUNCTION("""COMPUTED_VALUE"""),1.0)</f>
        <v>1</v>
      </c>
    </row>
    <row r="29">
      <c r="A29" s="9" t="b">
        <f>IFERROR(__xludf.DUMMYFUNCTION("""COMPUTED_VALUE"""),TRUE)</f>
        <v>1</v>
      </c>
      <c r="B29" s="9" t="str">
        <f>IFERROR(__xludf.DUMMYFUNCTION("""COMPUTED_VALUE"""),"sand-quarrying")</f>
        <v>sand-quarrying</v>
      </c>
      <c r="C29" s="9" t="str">
        <f>IFERROR(__xludf.DUMMYFUNCTION("""COMPUTED_VALUE"""),"climate-trace")</f>
        <v>climate-trace</v>
      </c>
      <c r="D29" s="9" t="str">
        <f>IFERROR(__xludf.DUMMYFUNCTION("""COMPUTED_VALUE"""),"sand-quarrying")</f>
        <v>sand-quarrying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IFERROR(__xludf.DUMMYFUNCTION("""COMPUTED_VALUE"""),"enteric-fermentation-cattle-feedlot")</f>
        <v>enteric-fermentation-cattle-feedlot</v>
      </c>
      <c r="C30" s="9" t="str">
        <f>IFERROR(__xludf.DUMMYFUNCTION("""COMPUTED_VALUE"""),"climate-trace")</f>
        <v>climate-trace</v>
      </c>
      <c r="D30" s="9" t="str">
        <f>IFERROR(__xludf.DUMMYFUNCTION("""COMPUTED_VALUE"""),"enteric-fermentation-cattle-feedlot")</f>
        <v>enteric-fermentation-cattle-feedlot</v>
      </c>
      <c r="E30" s="9">
        <f>IFERROR(__xludf.DUMMYFUNCTION("""COMPUTED_VALUE"""),1.0)</f>
        <v>1</v>
      </c>
    </row>
    <row r="31">
      <c r="A31" s="9" t="b">
        <f>IFERROR(__xludf.DUMMYFUNCTION("""COMPUTED_VALUE"""),TRUE)</f>
        <v>1</v>
      </c>
      <c r="B31" s="9" t="str">
        <f>IFERROR(__xludf.DUMMYFUNCTION("""COMPUTED_VALUE"""),"enteric-fermentation-cattle-pasture")</f>
        <v>enteric-fermentation-cattle-pasture</v>
      </c>
      <c r="C31" s="9" t="str">
        <f>IFERROR(__xludf.DUMMYFUNCTION("""COMPUTED_VALUE"""),"climate-trace")</f>
        <v>climate-trace</v>
      </c>
      <c r="D31" s="9" t="str">
        <f>IFERROR(__xludf.DUMMYFUNCTION("""COMPUTED_VALUE"""),"enteric-fermentation-cattle-pasture")</f>
        <v>enteric-fermentation-cattle-pasture</v>
      </c>
      <c r="E31" s="9">
        <f>IFERROR(__xludf.DUMMYFUNCTION("""COMPUTED_VALUE"""),1.0)</f>
        <v>1</v>
      </c>
    </row>
    <row r="32">
      <c r="A32" s="9" t="b">
        <f>IFERROR(__xludf.DUMMYFUNCTION("""COMPUTED_VALUE"""),TRUE)</f>
        <v>1</v>
      </c>
      <c r="B32" s="9" t="str">
        <f>IFERROR(__xludf.DUMMYFUNCTION("""COMPUTED_VALUE"""),"enteric-fermentation-other")</f>
        <v>enteric-fermentation-other</v>
      </c>
      <c r="C32" s="9" t="str">
        <f>IFERROR(__xludf.DUMMYFUNCTION("""COMPUTED_VALUE"""),"climate-trace")</f>
        <v>climate-trace</v>
      </c>
      <c r="D32" s="9" t="str">
        <f>IFERROR(__xludf.DUMMYFUNCTION("""COMPUTED_VALUE"""),"enteric-fermentation-other")</f>
        <v>enteric-fermentation-other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IFERROR(__xludf.DUMMYFUNCTION("""COMPUTED_VALUE"""),"manure-left-on-pasture-cattle")</f>
        <v>manure-left-on-pasture-cattle</v>
      </c>
      <c r="C33" s="9" t="str">
        <f>IFERROR(__xludf.DUMMYFUNCTION("""COMPUTED_VALUE"""),"climate-trace")</f>
        <v>climate-trace</v>
      </c>
      <c r="D33" s="9" t="str">
        <f>IFERROR(__xludf.DUMMYFUNCTION("""COMPUTED_VALUE"""),"manure-left-on-pasture-cattle")</f>
        <v>manure-left-on-pasture-cattle</v>
      </c>
      <c r="E33" s="9">
        <f>IFERROR(__xludf.DUMMYFUNCTION("""COMPUTED_VALUE"""),1.0)</f>
        <v>1</v>
      </c>
    </row>
    <row r="34">
      <c r="A34" s="9" t="b">
        <f>IFERROR(__xludf.DUMMYFUNCTION("""COMPUTED_VALUE"""),TRUE)</f>
        <v>1</v>
      </c>
      <c r="B34" s="9" t="str">
        <f>IFERROR(__xludf.DUMMYFUNCTION("""COMPUTED_VALUE"""),"manure-management-cattle-feedlot")</f>
        <v>manure-management-cattle-feedlot</v>
      </c>
      <c r="C34" s="9" t="str">
        <f>IFERROR(__xludf.DUMMYFUNCTION("""COMPUTED_VALUE"""),"climate-trace")</f>
        <v>climate-trace</v>
      </c>
      <c r="D34" s="9" t="str">
        <f>IFERROR(__xludf.DUMMYFUNCTION("""COMPUTED_VALUE"""),"manure-management-cattle-feedlot")</f>
        <v>manure-management-cattle-feedlot</v>
      </c>
      <c r="E34" s="9">
        <f>IFERROR(__xludf.DUMMYFUNCTION("""COMPUTED_VALUE"""),1.0)</f>
        <v>1</v>
      </c>
    </row>
    <row r="35">
      <c r="A35" s="9" t="b">
        <f>IFERROR(__xludf.DUMMYFUNCTION("""COMPUTED_VALUE"""),TRUE)</f>
        <v>1</v>
      </c>
      <c r="B35" s="9" t="str">
        <f>IFERROR(__xludf.DUMMYFUNCTION("""COMPUTED_VALUE"""),"manure-management-other")</f>
        <v>manure-management-other</v>
      </c>
      <c r="C35" s="9" t="str">
        <f>IFERROR(__xludf.DUMMYFUNCTION("""COMPUTED_VALUE"""),"climate-trace")</f>
        <v>climate-trace</v>
      </c>
      <c r="D35" s="9" t="str">
        <f>IFERROR(__xludf.DUMMYFUNCTION("""COMPUTED_VALUE"""),"manure-management-other")</f>
        <v>manure-management-other</v>
      </c>
      <c r="E35" s="9">
        <f>IFERROR(__xludf.DUMMYFUNCTION("""COMPUTED_VALUE"""),1.0)</f>
        <v>1</v>
      </c>
    </row>
    <row r="36">
      <c r="A36" s="9" t="b">
        <f>IFERROR(__xludf.DUMMYFUNCTION("""COMPUTED_VALUE"""),TRUE)</f>
        <v>1</v>
      </c>
      <c r="B36" s="9" t="str">
        <f>IFERROR(__xludf.DUMMYFUNCTION("""COMPUTED_VALUE"""),"rice-cultivation")</f>
        <v>rice-cultivation</v>
      </c>
      <c r="C36" s="9" t="str">
        <f>IFERROR(__xludf.DUMMYFUNCTION("""COMPUTED_VALUE"""),"climate-trace")</f>
        <v>climate-trace</v>
      </c>
      <c r="D36" s="9" t="str">
        <f>IFERROR(__xludf.DUMMYFUNCTION("""COMPUTED_VALUE"""),"rice-cultivation")</f>
        <v>rice-cultivation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IFERROR(__xludf.DUMMYFUNCTION("""COMPUTED_VALUE"""),"synthetic-fertilizer-application")</f>
        <v>synthetic-fertilizer-application</v>
      </c>
      <c r="C37" s="9" t="str">
        <f>IFERROR(__xludf.DUMMYFUNCTION("""COMPUTED_VALUE"""),"climate-trace")</f>
        <v>climate-trace</v>
      </c>
      <c r="D37" s="9" t="str">
        <f>IFERROR(__xludf.DUMMYFUNCTION("""COMPUTED_VALUE"""),"synthetic-fertilizer-application")</f>
        <v>synthetic-fertilizer-application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IFERROR(__xludf.DUMMYFUNCTION("""COMPUTED_VALUE"""),"other-agricultural-soil-emissions")</f>
        <v>other-agricultural-soil-emissions</v>
      </c>
      <c r="C38" s="9" t="str">
        <f>IFERROR(__xludf.DUMMYFUNCTION("""COMPUTED_VALUE"""),"climate-trace")</f>
        <v>climate-trace</v>
      </c>
      <c r="D38" s="9" t="str">
        <f>IFERROR(__xludf.DUMMYFUNCTION("""COMPUTED_VALUE"""),"other-agricultural-soil-emissions")</f>
        <v>other-agricultural-soil-emissions</v>
      </c>
      <c r="E38" s="9">
        <f>IFERROR(__xludf.DUMMYFUNCTION("""COMPUTED_VALUE"""),1.0)</f>
        <v>1</v>
      </c>
    </row>
    <row r="39">
      <c r="A39" s="9" t="b">
        <f>IFERROR(__xludf.DUMMYFUNCTION("""COMPUTED_VALUE"""),TRUE)</f>
        <v>1</v>
      </c>
      <c r="B39" s="9" t="str">
        <f>IFERROR(__xludf.DUMMYFUNCTION("""COMPUTED_VALUE"""),"cropland-fires")</f>
        <v>cropland-fires</v>
      </c>
      <c r="C39" s="9" t="str">
        <f>IFERROR(__xludf.DUMMYFUNCTION("""COMPUTED_VALUE"""),"climate-trace")</f>
        <v>climate-trace</v>
      </c>
      <c r="D39" s="9" t="str">
        <f>IFERROR(__xludf.DUMMYFUNCTION("""COMPUTED_VALUE"""),"cropland-fires")</f>
        <v>cropland-fires</v>
      </c>
      <c r="E39" s="9">
        <f>IFERROR(__xludf.DUMMYFUNCTION("""COMPUTED_VALUE"""),1.0)</f>
        <v>1</v>
      </c>
    </row>
    <row r="40">
      <c r="A40" s="9" t="b">
        <f>IFERROR(__xludf.DUMMYFUNCTION("""COMPUTED_VALUE"""),TRUE)</f>
        <v>1</v>
      </c>
      <c r="B40" s="9" t="str">
        <f>IFERROR(__xludf.DUMMYFUNCTION("""COMPUTED_VALUE"""),"solid-waste-disposal")</f>
        <v>solid-waste-disposal</v>
      </c>
      <c r="C40" s="9" t="str">
        <f>IFERROR(__xludf.DUMMYFUNCTION("""COMPUTED_VALUE"""),"climate-trace")</f>
        <v>climate-trace</v>
      </c>
      <c r="D40" s="9" t="str">
        <f>IFERROR(__xludf.DUMMYFUNCTION("""COMPUTED_VALUE"""),"solid-waste-disposal")</f>
        <v>solid-waste-disposal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IFERROR(__xludf.DUMMYFUNCTION("""COMPUTED_VALUE"""),"biological-treatment-of-solid-waste-and-biogenic")</f>
        <v>biological-treatment-of-solid-waste-and-biogenic</v>
      </c>
      <c r="C41" s="9" t="str">
        <f>IFERROR(__xludf.DUMMYFUNCTION("""COMPUTED_VALUE"""),"climate-trace")</f>
        <v>climate-trace</v>
      </c>
      <c r="D41" s="9" t="str">
        <f>IFERROR(__xludf.DUMMYFUNCTION("""COMPUTED_VALUE"""),"biological-treatment-of-solid-waste-and-biogenic")</f>
        <v>biological-treatment-of-solid-waste-and-biogenic</v>
      </c>
      <c r="E41" s="9">
        <f>IFERROR(__xludf.DUMMYFUNCTION("""COMPUTED_VALUE"""),1.0)</f>
        <v>1</v>
      </c>
    </row>
    <row r="42">
      <c r="A42" s="9" t="b">
        <f>IFERROR(__xludf.DUMMYFUNCTION("""COMPUTED_VALUE"""),TRUE)</f>
        <v>1</v>
      </c>
      <c r="B42" s="9" t="str">
        <f>IFERROR(__xludf.DUMMYFUNCTION("""COMPUTED_VALUE"""),"incineration-and-open-burning-of-waste")</f>
        <v>incineration-and-open-burning-of-waste</v>
      </c>
      <c r="C42" s="9" t="str">
        <f>IFERROR(__xludf.DUMMYFUNCTION("""COMPUTED_VALUE"""),"climate-trace")</f>
        <v>climate-trace</v>
      </c>
      <c r="D42" s="9" t="str">
        <f>IFERROR(__xludf.DUMMYFUNCTION("""COMPUTED_VALUE"""),"incineration-and-open-burning-of-waste")</f>
        <v>incineration-and-open-burning-of-waste</v>
      </c>
      <c r="E42" s="9">
        <f>IFERROR(__xludf.DUMMYFUNCTION("""COMPUTED_VALUE"""),1.0)</f>
        <v>1</v>
      </c>
    </row>
    <row r="43">
      <c r="A43" s="9" t="b">
        <f>IFERROR(__xludf.DUMMYFUNCTION("""COMPUTED_VALUE"""),TRUE)</f>
        <v>1</v>
      </c>
      <c r="B43" s="9" t="str">
        <f>IFERROR(__xludf.DUMMYFUNCTION("""COMPUTED_VALUE"""),"wastewater-treatment-and-discharge")</f>
        <v>wastewater-treatment-and-discharge</v>
      </c>
      <c r="C43" s="9" t="str">
        <f>IFERROR(__xludf.DUMMYFUNCTION("""COMPUTED_VALUE"""),"climate-trace")</f>
        <v>climate-trace</v>
      </c>
      <c r="D43" s="9" t="str">
        <f>IFERROR(__xludf.DUMMYFUNCTION("""COMPUTED_VALUE"""),"wastewater-treatment-and-discharge")</f>
        <v>wastewater-treatment-and-discharge</v>
      </c>
      <c r="E43" s="9">
        <f>IFERROR(__xludf.DUMMYFUNCTION("""COMPUTED_VALUE"""),1.0)</f>
        <v>1</v>
      </c>
    </row>
    <row r="44">
      <c r="A44" s="9" t="b">
        <f>IFERROR(__xludf.DUMMYFUNCTION("""COMPUTED_VALUE"""),TRUE)</f>
        <v>1</v>
      </c>
      <c r="B44" s="9" t="str">
        <f>IFERROR(__xludf.DUMMYFUNCTION("""COMPUTED_VALUE"""),"fluorinated-gases")</f>
        <v>fluorinated-gases</v>
      </c>
      <c r="C44" s="9" t="str">
        <f>IFERROR(__xludf.DUMMYFUNCTION("""COMPUTED_VALUE"""),"climate-trace")</f>
        <v>climate-trace</v>
      </c>
      <c r="D44" s="9" t="str">
        <f>IFERROR(__xludf.DUMMYFUNCTION("""COMPUTED_VALUE"""),"fluorinated-gases")</f>
        <v>fluorinated-gases</v>
      </c>
      <c r="E44" s="9">
        <f>IFERROR(__xludf.DUMMYFUNCTION("""COMPUTED_VALUE"""),1.0)</f>
        <v>1</v>
      </c>
    </row>
    <row r="45">
      <c r="A45" s="9" t="b">
        <f>IFERROR(__xludf.DUMMYFUNCTION("""COMPUTED_VALUE"""),TRUE)</f>
        <v>1</v>
      </c>
      <c r="B45" s="9" t="str">
        <f>IFERROR(__xludf.DUMMYFUNCTION("""COMPUTED_VALUE"""),"forest-land-fires")</f>
        <v>forest-land-fires</v>
      </c>
      <c r="C45" s="9" t="str">
        <f>IFERROR(__xludf.DUMMYFUNCTION("""COMPUTED_VALUE"""),"climate-trace")</f>
        <v>climate-trace</v>
      </c>
      <c r="D45" s="9" t="str">
        <f>IFERROR(__xludf.DUMMYFUNCTION("""COMPUTED_VALUE"""),"forest-land-fires")</f>
        <v>forest-land-fires</v>
      </c>
      <c r="E45" s="9">
        <f>IFERROR(__xludf.DUMMYFUNCTION("""COMPUTED_VALUE"""),1.0)</f>
        <v>1</v>
      </c>
    </row>
    <row r="46">
      <c r="A46" s="9" t="b">
        <f>IFERROR(__xludf.DUMMYFUNCTION("""COMPUTED_VALUE"""),TRUE)</f>
        <v>1</v>
      </c>
      <c r="B46" s="9" t="str">
        <f>IFERROR(__xludf.DUMMYFUNCTION("""COMPUTED_VALUE"""),"forest-land-clearing")</f>
        <v>forest-land-clearing</v>
      </c>
      <c r="C46" s="9" t="str">
        <f>IFERROR(__xludf.DUMMYFUNCTION("""COMPUTED_VALUE"""),"climate-trace")</f>
        <v>climate-trace</v>
      </c>
      <c r="D46" s="9" t="str">
        <f>IFERROR(__xludf.DUMMYFUNCTION("""COMPUTED_VALUE"""),"forest-land-clearing")</f>
        <v>forest-land-clearing</v>
      </c>
      <c r="E46" s="9">
        <f>IFERROR(__xludf.DUMMYFUNCTION("""COMPUTED_VALUE"""),1.0)</f>
        <v>1</v>
      </c>
    </row>
    <row r="47">
      <c r="A47" s="9" t="b">
        <f>IFERROR(__xludf.DUMMYFUNCTION("""COMPUTED_VALUE"""),TRUE)</f>
        <v>1</v>
      </c>
      <c r="B47" s="9" t="str">
        <f>IFERROR(__xludf.DUMMYFUNCTION("""COMPUTED_VALUE"""),"forest-land-degradation")</f>
        <v>forest-land-degradation</v>
      </c>
      <c r="C47" s="9" t="str">
        <f>IFERROR(__xludf.DUMMYFUNCTION("""COMPUTED_VALUE"""),"climate-trace")</f>
        <v>climate-trace</v>
      </c>
      <c r="D47" s="9" t="str">
        <f>IFERROR(__xludf.DUMMYFUNCTION("""COMPUTED_VALUE"""),"forest-land-degradation")</f>
        <v>forest-land-degradation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IFERROR(__xludf.DUMMYFUNCTION("""COMPUTED_VALUE"""),"net-forest-land")</f>
        <v>net-forest-land</v>
      </c>
      <c r="C48" s="9" t="str">
        <f>IFERROR(__xludf.DUMMYFUNCTION("""COMPUTED_VALUE"""),"climate-trace")</f>
        <v>climate-trace</v>
      </c>
      <c r="D48" s="9" t="str">
        <f>IFERROR(__xludf.DUMMYFUNCTION("""COMPUTED_VALUE"""),"net-forest-land")</f>
        <v>net-forest-land</v>
      </c>
      <c r="E48" s="9">
        <f>IFERROR(__xludf.DUMMYFUNCTION("""COMPUTED_VALUE"""),1.0)</f>
        <v>1</v>
      </c>
    </row>
    <row r="49">
      <c r="A49" s="9" t="b">
        <f>IFERROR(__xludf.DUMMYFUNCTION("""COMPUTED_VALUE"""),TRUE)</f>
        <v>1</v>
      </c>
      <c r="B49" s="9" t="str">
        <f>IFERROR(__xludf.DUMMYFUNCTION("""COMPUTED_VALUE"""),"net-shrubgrass")</f>
        <v>net-shrubgrass</v>
      </c>
      <c r="C49" s="9" t="str">
        <f>IFERROR(__xludf.DUMMYFUNCTION("""COMPUTED_VALUE"""),"climate-trace")</f>
        <v>climate-trace</v>
      </c>
      <c r="D49" s="9" t="str">
        <f>IFERROR(__xludf.DUMMYFUNCTION("""COMPUTED_VALUE"""),"net-shrubgrass")</f>
        <v>net-shrubgrass</v>
      </c>
      <c r="E49" s="9">
        <f>IFERROR(__xludf.DUMMYFUNCTION("""COMPUTED_VALUE"""),1.0)</f>
        <v>1</v>
      </c>
    </row>
    <row r="50">
      <c r="A50" s="9" t="b">
        <f>IFERROR(__xludf.DUMMYFUNCTION("""COMPUTED_VALUE"""),TRUE)</f>
        <v>1</v>
      </c>
      <c r="B50" s="9" t="str">
        <f>IFERROR(__xludf.DUMMYFUNCTION("""COMPUTED_VALUE"""),"net-wetland")</f>
        <v>net-wetland</v>
      </c>
      <c r="C50" s="9" t="str">
        <f>IFERROR(__xludf.DUMMYFUNCTION("""COMPUTED_VALUE"""),"climate-trace")</f>
        <v>climate-trace</v>
      </c>
      <c r="D50" s="9" t="str">
        <f>IFERROR(__xludf.DUMMYFUNCTION("""COMPUTED_VALUE"""),"net-wetland")</f>
        <v>net-wetland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IFERROR(__xludf.DUMMYFUNCTION("""COMPUTED_VALUE"""),"shrubgrass-fires")</f>
        <v>shrubgrass-fires</v>
      </c>
      <c r="C51" s="9" t="str">
        <f>IFERROR(__xludf.DUMMYFUNCTION("""COMPUTED_VALUE"""),"climate-trace")</f>
        <v>climate-trace</v>
      </c>
      <c r="D51" s="9" t="str">
        <f>IFERROR(__xludf.DUMMYFUNCTION("""COMPUTED_VALUE"""),"shrubgrass-fires")</f>
        <v>shrubgrass-fires</v>
      </c>
      <c r="E51" s="9">
        <f>IFERROR(__xludf.DUMMYFUNCTION("""COMPUTED_VALUE"""),1.0)</f>
        <v>1</v>
      </c>
    </row>
    <row r="52">
      <c r="A52" s="9" t="b">
        <f>IFERROR(__xludf.DUMMYFUNCTION("""COMPUTED_VALUE"""),TRUE)</f>
        <v>1</v>
      </c>
      <c r="B52" s="9" t="str">
        <f>IFERROR(__xludf.DUMMYFUNCTION("""COMPUTED_VALUE"""),"wetland-fires")</f>
        <v>wetland-fires</v>
      </c>
      <c r="C52" s="9" t="str">
        <f>IFERROR(__xludf.DUMMYFUNCTION("""COMPUTED_VALUE"""),"climate-trace")</f>
        <v>climate-trace</v>
      </c>
      <c r="D52" s="9" t="str">
        <f>IFERROR(__xludf.DUMMYFUNCTION("""COMPUTED_VALUE"""),"wetland-fires")</f>
        <v>wetland-fires</v>
      </c>
      <c r="E52" s="9">
        <f>IFERROR(__xludf.DUMMYFUNCTION("""COMPUTED_VALUE"""),1.0)</f>
        <v>1</v>
      </c>
    </row>
    <row r="53">
      <c r="A53" s="9" t="b">
        <f>IFERROR(__xludf.DUMMYFUNCTION("""COMPUTED_VALUE"""),TRUE)</f>
        <v>1</v>
      </c>
      <c r="B53" s="9" t="str">
        <f>IFERROR(__xludf.DUMMYFUNCTION("""COMPUTED_VALUE"""),"removals")</f>
        <v>removals</v>
      </c>
      <c r="C53" s="9" t="str">
        <f>IFERROR(__xludf.DUMMYFUNCTION("""COMPUTED_VALUE"""),"climate-trace")</f>
        <v>climate-trace</v>
      </c>
      <c r="D53" s="9" t="str">
        <f>IFERROR(__xludf.DUMMYFUNCTION("""COMPUTED_VALUE"""),"removals")</f>
        <v>removals</v>
      </c>
      <c r="E53" s="9">
        <f>IFERROR(__xludf.DUMMYFUNCTION("""COMPUTED_VALUE"""),1.0)</f>
        <v>1</v>
      </c>
    </row>
    <row r="54">
      <c r="A54" s="9" t="b">
        <f>IFERROR(__xludf.DUMMYFUNCTION("""COMPUTED_VALUE"""),TRUE)</f>
        <v>1</v>
      </c>
      <c r="B54" s="9" t="str">
        <f>IFERROR(__xludf.DUMMYFUNCTION("""COMPUTED_VALUE"""),"water-reservoirs")</f>
        <v>water-reservoirs</v>
      </c>
      <c r="C54" s="9" t="str">
        <f>IFERROR(__xludf.DUMMYFUNCTION("""COMPUTED_VALUE"""),"climate-trace")</f>
        <v>climate-trace</v>
      </c>
      <c r="D54" s="9" t="str">
        <f>IFERROR(__xludf.DUMMYFUNCTION("""COMPUTED_VALUE"""),"water-reservoirs")</f>
        <v>water-reservoirs</v>
      </c>
      <c r="E54" s="9">
        <f>IFERROR(__xludf.DUMMYFUNCTION("""COMPUTED_VALUE"""),1.0)</f>
        <v>1</v>
      </c>
    </row>
    <row r="55">
      <c r="A55" s="9" t="b">
        <f>IFERROR(__xludf.DUMMYFUNCTION("""COMPUTED_VALUE"""),FALSE)</f>
        <v>0</v>
      </c>
      <c r="B55" s="9" t="str">
        <f>IFERROR(__xludf.DUMMYFUNCTION("""COMPUTED_VALUE"""),"electricity-generation")</f>
        <v>electricity-generation</v>
      </c>
      <c r="C55" s="9" t="str">
        <f>IFERROR(__xludf.DUMMYFUNCTION("""COMPUTED_VALUE"""),"climate-trace")</f>
        <v>climate-trace</v>
      </c>
      <c r="D55" s="9" t="str">
        <f>IFERROR(__xludf.DUMMYFUNCTION("""COMPUTED_VALUE"""),"electricity-generation")</f>
        <v>electricity-generation</v>
      </c>
      <c r="E55" s="9">
        <f>IFERROR(__xludf.DUMMYFUNCTION("""COMPUTED_VALUE"""),1.0)</f>
        <v>1</v>
      </c>
    </row>
    <row r="56">
      <c r="A56" s="9" t="b">
        <f>IFERROR(__xludf.DUMMYFUNCTION("""COMPUTED_VALUE"""),FALSE)</f>
        <v>0</v>
      </c>
      <c r="B56" s="9" t="str">
        <f>IFERROR(__xludf.DUMMYFUNCTION("""COMPUTED_VALUE"""),"other-energy-use")</f>
        <v>other-energy-use</v>
      </c>
      <c r="C56" s="9" t="str">
        <f>IFERROR(__xludf.DUMMYFUNCTION("""COMPUTED_VALUE"""),"climate-trace")</f>
        <v>climate-trace</v>
      </c>
      <c r="D56" s="9" t="str">
        <f>IFERROR(__xludf.DUMMYFUNCTION("""COMPUTED_VALUE"""),"other-energy-use")</f>
        <v>other-energy-use</v>
      </c>
      <c r="E56" s="9">
        <f>IFERROR(__xludf.DUMMYFUNCTION("""COMPUTED_VALUE"""),1.0)</f>
        <v>1</v>
      </c>
    </row>
    <row r="57">
      <c r="A57" s="9" t="b">
        <f>IFERROR(__xludf.DUMMYFUNCTION("""COMPUTED_VALUE"""),FALSE)</f>
        <v>0</v>
      </c>
      <c r="B57" s="9" t="str">
        <f>IFERROR(__xludf.DUMMYFUNCTION("""COMPUTED_VALUE"""),"domestic-aviation")</f>
        <v>domestic-aviation</v>
      </c>
      <c r="C57" s="9" t="str">
        <f>IFERROR(__xludf.DUMMYFUNCTION("""COMPUTED_VALUE"""),"climate-trace")</f>
        <v>climate-trace</v>
      </c>
      <c r="D57" s="9" t="str">
        <f>IFERROR(__xludf.DUMMYFUNCTION("""COMPUTED_VALUE"""),"domestic-aviation")</f>
        <v>domestic-aviation</v>
      </c>
      <c r="E57" s="9">
        <f>IFERROR(__xludf.DUMMYFUNCTION("""COMPUTED_VALUE"""),1.0)</f>
        <v>1</v>
      </c>
    </row>
    <row r="58">
      <c r="A58" s="9" t="b">
        <f>IFERROR(__xludf.DUMMYFUNCTION("""COMPUTED_VALUE"""),FALSE)</f>
        <v>0</v>
      </c>
      <c r="B58" s="9" t="str">
        <f>IFERROR(__xludf.DUMMYFUNCTION("""COMPUTED_VALUE"""),"international-aviation")</f>
        <v>international-aviation</v>
      </c>
      <c r="C58" s="9" t="str">
        <f>IFERROR(__xludf.DUMMYFUNCTION("""COMPUTED_VALUE"""),"climate-trace")</f>
        <v>climate-trace</v>
      </c>
      <c r="D58" s="9" t="str">
        <f>IFERROR(__xludf.DUMMYFUNCTION("""COMPUTED_VALUE"""),"international-aviation")</f>
        <v>international-aviation</v>
      </c>
      <c r="E58" s="9">
        <f>IFERROR(__xludf.DUMMYFUNCTION("""COMPUTED_VALUE"""),1.0)</f>
        <v>1</v>
      </c>
    </row>
    <row r="59">
      <c r="A59" s="9" t="b">
        <f>IFERROR(__xludf.DUMMYFUNCTION("""COMPUTED_VALUE"""),FALSE)</f>
        <v>0</v>
      </c>
      <c r="B59" s="9" t="str">
        <f>IFERROR(__xludf.DUMMYFUNCTION("""COMPUTED_VALUE"""),"road-transportation")</f>
        <v>road-transportation</v>
      </c>
      <c r="C59" s="9" t="str">
        <f>IFERROR(__xludf.DUMMYFUNCTION("""COMPUTED_VALUE"""),"climate-trace")</f>
        <v>climate-trace</v>
      </c>
      <c r="D59" s="9" t="str">
        <f>IFERROR(__xludf.DUMMYFUNCTION("""COMPUTED_VALUE"""),"road-transportation")</f>
        <v>road-transportation</v>
      </c>
      <c r="E59" s="9">
        <f>IFERROR(__xludf.DUMMYFUNCTION("""COMPUTED_VALUE"""),1.0)</f>
        <v>1</v>
      </c>
    </row>
    <row r="60">
      <c r="A60" s="9" t="b">
        <f>IFERROR(__xludf.DUMMYFUNCTION("""COMPUTED_VALUE"""),FALSE)</f>
        <v>0</v>
      </c>
      <c r="B60" s="9" t="str">
        <f>IFERROR(__xludf.DUMMYFUNCTION("""COMPUTED_VALUE"""),"international-shipping")</f>
        <v>international-shipping</v>
      </c>
      <c r="C60" s="9" t="str">
        <f>IFERROR(__xludf.DUMMYFUNCTION("""COMPUTED_VALUE"""),"climate-trace")</f>
        <v>climate-trace</v>
      </c>
      <c r="D60" s="9" t="str">
        <f>IFERROR(__xludf.DUMMYFUNCTION("""COMPUTED_VALUE"""),"international-shipping")</f>
        <v>international-shipping</v>
      </c>
      <c r="E60" s="9">
        <f>IFERROR(__xludf.DUMMYFUNCTION("""COMPUTED_VALUE"""),1.0)</f>
        <v>1</v>
      </c>
    </row>
    <row r="61">
      <c r="A61" s="9" t="b">
        <f>IFERROR(__xludf.DUMMYFUNCTION("""COMPUTED_VALUE"""),FALSE)</f>
        <v>0</v>
      </c>
      <c r="B61" s="9" t="str">
        <f>IFERROR(__xludf.DUMMYFUNCTION("""COMPUTED_VALUE"""),"domestic-shipping")</f>
        <v>domestic-shipping</v>
      </c>
      <c r="C61" s="9" t="str">
        <f>IFERROR(__xludf.DUMMYFUNCTION("""COMPUTED_VALUE"""),"climate-trace")</f>
        <v>climate-trace</v>
      </c>
      <c r="D61" s="9" t="str">
        <f>IFERROR(__xludf.DUMMYFUNCTION("""COMPUTED_VALUE"""),"domestic-shipping")</f>
        <v>domestic-shipping</v>
      </c>
      <c r="E61" s="9">
        <f>IFERROR(__xludf.DUMMYFUNCTION("""COMPUTED_VALUE"""),1.0)</f>
        <v>1</v>
      </c>
    </row>
    <row r="62">
      <c r="A62" s="9" t="b">
        <f>IFERROR(__xludf.DUMMYFUNCTION("""COMPUTED_VALUE"""),FALSE)</f>
        <v>0</v>
      </c>
      <c r="B62" s="9" t="str">
        <f>IFERROR(__xludf.DUMMYFUNCTION("""COMPUTED_VALUE"""),"railways")</f>
        <v>railways</v>
      </c>
      <c r="C62" s="9" t="str">
        <f>IFERROR(__xludf.DUMMYFUNCTION("""COMPUTED_VALUE"""),"climate-trace")</f>
        <v>climate-trace</v>
      </c>
      <c r="D62" s="9" t="str">
        <f>IFERROR(__xludf.DUMMYFUNCTION("""COMPUTED_VALUE"""),"railways")</f>
        <v>railways</v>
      </c>
      <c r="E62" s="9">
        <f>IFERROR(__xludf.DUMMYFUNCTION("""COMPUTED_VALUE"""),1.0)</f>
        <v>1</v>
      </c>
    </row>
    <row r="63">
      <c r="A63" s="9" t="b">
        <f>IFERROR(__xludf.DUMMYFUNCTION("""COMPUTED_VALUE"""),FALSE)</f>
        <v>0</v>
      </c>
      <c r="B63" s="9" t="str">
        <f>IFERROR(__xludf.DUMMYFUNCTION("""COMPUTED_VALUE"""),"other-transport")</f>
        <v>other-transport</v>
      </c>
      <c r="C63" s="9" t="str">
        <f>IFERROR(__xludf.DUMMYFUNCTION("""COMPUTED_VALUE"""),"climate-trace")</f>
        <v>climate-trace</v>
      </c>
      <c r="D63" s="9" t="str">
        <f>IFERROR(__xludf.DUMMYFUNCTION("""COMPUTED_VALUE"""),"other-transport")</f>
        <v>other-transport</v>
      </c>
      <c r="E63" s="9">
        <f>IFERROR(__xludf.DUMMYFUNCTION("""COMPUTED_VALUE"""),1.0)</f>
        <v>1</v>
      </c>
    </row>
    <row r="64">
      <c r="A64" s="9" t="b">
        <f>IFERROR(__xludf.DUMMYFUNCTION("""COMPUTED_VALUE"""),FALSE)</f>
        <v>0</v>
      </c>
      <c r="B64" s="9" t="str">
        <f>IFERROR(__xludf.DUMMYFUNCTION("""COMPUTED_VALUE"""),"residential-and-commercial-onsite-fuel-usage")</f>
        <v>residential-and-commercial-onsite-fuel-usage</v>
      </c>
      <c r="C64" s="9" t="str">
        <f>IFERROR(__xludf.DUMMYFUNCTION("""COMPUTED_VALUE"""),"climate-trace")</f>
        <v>climate-trace</v>
      </c>
      <c r="D64" s="9" t="str">
        <f>IFERROR(__xludf.DUMMYFUNCTION("""COMPUTED_VALUE"""),"residential-and-commercial-onsite-fuel-usage")</f>
        <v>residential-and-commercial-onsite-fuel-usage</v>
      </c>
      <c r="E64" s="9">
        <f>IFERROR(__xludf.DUMMYFUNCTION("""COMPUTED_VALUE"""),1.0)</f>
        <v>1</v>
      </c>
    </row>
    <row r="65">
      <c r="A65" s="9" t="b">
        <f>IFERROR(__xludf.DUMMYFUNCTION("""COMPUTED_VALUE"""),FALSE)</f>
        <v>0</v>
      </c>
      <c r="B65" s="9" t="str">
        <f>IFERROR(__xludf.DUMMYFUNCTION("""COMPUTED_VALUE"""),"other-onsite-fuel-usage")</f>
        <v>other-onsite-fuel-usage</v>
      </c>
      <c r="C65" s="9" t="str">
        <f>IFERROR(__xludf.DUMMYFUNCTION("""COMPUTED_VALUE"""),"climate-trace")</f>
        <v>climate-trace</v>
      </c>
      <c r="D65" s="9" t="str">
        <f>IFERROR(__xludf.DUMMYFUNCTION("""COMPUTED_VALUE"""),"other-onsite-fuel-usage")</f>
        <v>other-onsite-fuel-usage</v>
      </c>
      <c r="E65" s="9">
        <f>IFERROR(__xludf.DUMMYFUNCTION("""COMPUTED_VALUE"""),1.0)</f>
        <v>1</v>
      </c>
    </row>
    <row r="66">
      <c r="A66" s="9" t="b">
        <f>IFERROR(__xludf.DUMMYFUNCTION("""COMPUTED_VALUE"""),FALSE)</f>
        <v>0</v>
      </c>
      <c r="B66" s="9" t="str">
        <f>IFERROR(__xludf.DUMMYFUNCTION("""COMPUTED_VALUE"""),"coal-mining")</f>
        <v>coal-mining</v>
      </c>
      <c r="C66" s="9" t="str">
        <f>IFERROR(__xludf.DUMMYFUNCTION("""COMPUTED_VALUE"""),"climate-trace")</f>
        <v>climate-trace</v>
      </c>
      <c r="D66" s="9" t="str">
        <f>IFERROR(__xludf.DUMMYFUNCTION("""COMPUTED_VALUE"""),"coal-mining")</f>
        <v>coal-mining</v>
      </c>
      <c r="E66" s="9">
        <f>IFERROR(__xludf.DUMMYFUNCTION("""COMPUTED_VALUE"""),1.0)</f>
        <v>1</v>
      </c>
    </row>
    <row r="67">
      <c r="A67" s="9" t="b">
        <f>IFERROR(__xludf.DUMMYFUNCTION("""COMPUTED_VALUE"""),FALSE)</f>
        <v>0</v>
      </c>
      <c r="B67" s="9" t="str">
        <f>IFERROR(__xludf.DUMMYFUNCTION("""COMPUTED_VALUE"""),"solid-fuel-transformation")</f>
        <v>solid-fuel-transformation</v>
      </c>
      <c r="C67" s="9" t="str">
        <f>IFERROR(__xludf.DUMMYFUNCTION("""COMPUTED_VALUE"""),"climate-trace")</f>
        <v>climate-trace</v>
      </c>
      <c r="D67" s="9" t="str">
        <f>IFERROR(__xludf.DUMMYFUNCTION("""COMPUTED_VALUE"""),"solid-fuel-transformation")</f>
        <v>solid-fuel-transformation</v>
      </c>
      <c r="E67" s="9">
        <f>IFERROR(__xludf.DUMMYFUNCTION("""COMPUTED_VALUE"""),1.0)</f>
        <v>1</v>
      </c>
    </row>
    <row r="68">
      <c r="A68" s="9" t="b">
        <f>IFERROR(__xludf.DUMMYFUNCTION("""COMPUTED_VALUE"""),FALSE)</f>
        <v>0</v>
      </c>
      <c r="B68" s="9" t="str">
        <f>IFERROR(__xludf.DUMMYFUNCTION("""COMPUTED_VALUE"""),"oil-and-gas-production-and-transport")</f>
        <v>oil-and-gas-production-and-transport</v>
      </c>
      <c r="C68" s="9" t="str">
        <f>IFERROR(__xludf.DUMMYFUNCTION("""COMPUTED_VALUE"""),"climate-trace")</f>
        <v>climate-trace</v>
      </c>
      <c r="D68" s="9" t="str">
        <f>IFERROR(__xludf.DUMMYFUNCTION("""COMPUTED_VALUE"""),"oil-and-gas-production-and-transport")</f>
        <v>oil-and-gas-production-and-transport</v>
      </c>
      <c r="E68" s="9">
        <f>IFERROR(__xludf.DUMMYFUNCTION("""COMPUTED_VALUE"""),1.0)</f>
        <v>1</v>
      </c>
    </row>
    <row r="69">
      <c r="A69" s="9" t="b">
        <f>IFERROR(__xludf.DUMMYFUNCTION("""COMPUTED_VALUE"""),FALSE)</f>
        <v>0</v>
      </c>
      <c r="B69" s="9" t="str">
        <f>IFERROR(__xludf.DUMMYFUNCTION("""COMPUTED_VALUE"""),"oil-and-gas-refining")</f>
        <v>oil-and-gas-refining</v>
      </c>
      <c r="C69" s="9" t="str">
        <f>IFERROR(__xludf.DUMMYFUNCTION("""COMPUTED_VALUE"""),"climate-trace")</f>
        <v>climate-trace</v>
      </c>
      <c r="D69" s="9" t="str">
        <f>IFERROR(__xludf.DUMMYFUNCTION("""COMPUTED_VALUE"""),"oil-and-gas-refining")</f>
        <v>oil-and-gas-refining</v>
      </c>
      <c r="E69" s="9">
        <f>IFERROR(__xludf.DUMMYFUNCTION("""COMPUTED_VALUE"""),1.0)</f>
        <v>1</v>
      </c>
    </row>
    <row r="70">
      <c r="A70" s="9" t="b">
        <f>IFERROR(__xludf.DUMMYFUNCTION("""COMPUTED_VALUE"""),FALSE)</f>
        <v>0</v>
      </c>
      <c r="B70" s="9" t="str">
        <f>IFERROR(__xludf.DUMMYFUNCTION("""COMPUTED_VALUE"""),"other-fossil-fuel-operations")</f>
        <v>other-fossil-fuel-operations</v>
      </c>
      <c r="C70" s="9" t="str">
        <f>IFERROR(__xludf.DUMMYFUNCTION("""COMPUTED_VALUE"""),"climate-trace")</f>
        <v>climate-trace</v>
      </c>
      <c r="D70" s="9" t="str">
        <f>IFERROR(__xludf.DUMMYFUNCTION("""COMPUTED_VALUE"""),"other-fossil-fuel-operations")</f>
        <v>other-fossil-fuel-operations</v>
      </c>
      <c r="E70" s="9">
        <f>IFERROR(__xludf.DUMMYFUNCTION("""COMPUTED_VALUE"""),1.0)</f>
        <v>1</v>
      </c>
    </row>
    <row r="71">
      <c r="A71" s="9" t="b">
        <f>IFERROR(__xludf.DUMMYFUNCTION("""COMPUTED_VALUE"""),FALSE)</f>
        <v>0</v>
      </c>
      <c r="B71" s="9" t="str">
        <f>IFERROR(__xludf.DUMMYFUNCTION("""COMPUTED_VALUE"""),"petrochemicals")</f>
        <v>petrochemicals</v>
      </c>
      <c r="C71" s="9" t="str">
        <f>IFERROR(__xludf.DUMMYFUNCTION("""COMPUTED_VALUE"""),"climate-trace")</f>
        <v>climate-trace</v>
      </c>
      <c r="D71" s="9" t="str">
        <f>IFERROR(__xludf.DUMMYFUNCTION("""COMPUTED_VALUE"""),"petrochemicals")</f>
        <v>petrochemicals</v>
      </c>
      <c r="E71" s="9">
        <f>IFERROR(__xludf.DUMMYFUNCTION("""COMPUTED_VALUE"""),1.0)</f>
        <v>1</v>
      </c>
    </row>
    <row r="72">
      <c r="A72" s="9" t="b">
        <f>IFERROR(__xludf.DUMMYFUNCTION("""COMPUTED_VALUE"""),FALSE)</f>
        <v>0</v>
      </c>
      <c r="B72" s="9" t="str">
        <f>IFERROR(__xludf.DUMMYFUNCTION("""COMPUTED_VALUE"""),"cement")</f>
        <v>cement</v>
      </c>
      <c r="C72" s="9" t="str">
        <f>IFERROR(__xludf.DUMMYFUNCTION("""COMPUTED_VALUE"""),"climate-trace")</f>
        <v>climate-trace</v>
      </c>
      <c r="D72" s="9" t="str">
        <f>IFERROR(__xludf.DUMMYFUNCTION("""COMPUTED_VALUE"""),"cement")</f>
        <v>cement</v>
      </c>
      <c r="E72" s="9">
        <f>IFERROR(__xludf.DUMMYFUNCTION("""COMPUTED_VALUE"""),1.0)</f>
        <v>1</v>
      </c>
    </row>
    <row r="73">
      <c r="A73" s="9" t="b">
        <f>IFERROR(__xludf.DUMMYFUNCTION("""COMPUTED_VALUE"""),FALSE)</f>
        <v>0</v>
      </c>
      <c r="B73" s="9" t="str">
        <f>IFERROR(__xludf.DUMMYFUNCTION("""COMPUTED_VALUE"""),"chemicals")</f>
        <v>chemicals</v>
      </c>
      <c r="C73" s="9" t="str">
        <f>IFERROR(__xludf.DUMMYFUNCTION("""COMPUTED_VALUE"""),"climate-trace")</f>
        <v>climate-trace</v>
      </c>
      <c r="D73" s="9" t="str">
        <f>IFERROR(__xludf.DUMMYFUNCTION("""COMPUTED_VALUE"""),"chemicals")</f>
        <v>chemicals</v>
      </c>
      <c r="E73" s="9">
        <f>IFERROR(__xludf.DUMMYFUNCTION("""COMPUTED_VALUE"""),1.0)</f>
        <v>1</v>
      </c>
    </row>
    <row r="74">
      <c r="A74" s="9" t="b">
        <f>IFERROR(__xludf.DUMMYFUNCTION("""COMPUTED_VALUE"""),FALSE)</f>
        <v>0</v>
      </c>
      <c r="B74" s="9" t="str">
        <f>IFERROR(__xludf.DUMMYFUNCTION("""COMPUTED_VALUE"""),"steel")</f>
        <v>steel</v>
      </c>
      <c r="C74" s="9" t="str">
        <f>IFERROR(__xludf.DUMMYFUNCTION("""COMPUTED_VALUE"""),"climate-trace")</f>
        <v>climate-trace</v>
      </c>
      <c r="D74" s="9" t="str">
        <f>IFERROR(__xludf.DUMMYFUNCTION("""COMPUTED_VALUE"""),"steel")</f>
        <v>steel</v>
      </c>
      <c r="E74" s="9">
        <f>IFERROR(__xludf.DUMMYFUNCTION("""COMPUTED_VALUE"""),1.0)</f>
        <v>1</v>
      </c>
    </row>
    <row r="75">
      <c r="A75" s="9" t="b">
        <f>IFERROR(__xludf.DUMMYFUNCTION("""COMPUTED_VALUE"""),FALSE)</f>
        <v>0</v>
      </c>
      <c r="B75" s="9" t="str">
        <f>IFERROR(__xludf.DUMMYFUNCTION("""COMPUTED_VALUE"""),"aluminum")</f>
        <v>aluminum</v>
      </c>
      <c r="C75" s="9" t="str">
        <f>IFERROR(__xludf.DUMMYFUNCTION("""COMPUTED_VALUE"""),"climate-trace")</f>
        <v>climate-trace</v>
      </c>
      <c r="D75" s="9" t="str">
        <f>IFERROR(__xludf.DUMMYFUNCTION("""COMPUTED_VALUE"""),"aluminum")</f>
        <v>aluminum</v>
      </c>
      <c r="E75" s="9">
        <f>IFERROR(__xludf.DUMMYFUNCTION("""COMPUTED_VALUE"""),1.0)</f>
        <v>1</v>
      </c>
    </row>
    <row r="76">
      <c r="A76" s="9" t="b">
        <f>IFERROR(__xludf.DUMMYFUNCTION("""COMPUTED_VALUE"""),FALSE)</f>
        <v>0</v>
      </c>
      <c r="B76" s="9" t="str">
        <f>IFERROR(__xludf.DUMMYFUNCTION("""COMPUTED_VALUE"""),"pulp-and-paper")</f>
        <v>pulp-and-paper</v>
      </c>
      <c r="C76" s="9" t="str">
        <f>IFERROR(__xludf.DUMMYFUNCTION("""COMPUTED_VALUE"""),"climate-trace")</f>
        <v>climate-trace</v>
      </c>
      <c r="D76" s="9" t="str">
        <f>IFERROR(__xludf.DUMMYFUNCTION("""COMPUTED_VALUE"""),"pulp-and-paper")</f>
        <v>pulp-and-paper</v>
      </c>
      <c r="E76" s="9">
        <f>IFERROR(__xludf.DUMMYFUNCTION("""COMPUTED_VALUE"""),1.0)</f>
        <v>1</v>
      </c>
    </row>
    <row r="77">
      <c r="A77" s="9" t="b">
        <f>IFERROR(__xludf.DUMMYFUNCTION("""COMPUTED_VALUE"""),FALSE)</f>
        <v>0</v>
      </c>
      <c r="B77" s="9" t="str">
        <f>IFERROR(__xludf.DUMMYFUNCTION("""COMPUTED_VALUE"""),"other-manufacturing")</f>
        <v>other-manufacturing</v>
      </c>
      <c r="C77" s="9" t="str">
        <f>IFERROR(__xludf.DUMMYFUNCTION("""COMPUTED_VALUE"""),"climate-trace")</f>
        <v>climate-trace</v>
      </c>
      <c r="D77" s="9" t="str">
        <f>IFERROR(__xludf.DUMMYFUNCTION("""COMPUTED_VALUE"""),"other-manufacturing")</f>
        <v>other-manufacturing</v>
      </c>
      <c r="E77" s="9">
        <f>IFERROR(__xludf.DUMMYFUNCTION("""COMPUTED_VALUE"""),1.0)</f>
        <v>1</v>
      </c>
    </row>
    <row r="78">
      <c r="A78" s="9" t="b">
        <f>IFERROR(__xludf.DUMMYFUNCTION("""COMPUTED_VALUE"""),FALSE)</f>
        <v>0</v>
      </c>
      <c r="B78" s="9" t="str">
        <f>IFERROR(__xludf.DUMMYFUNCTION("""COMPUTED_VALUE"""),"bauxite-mining")</f>
        <v>bauxite-mining</v>
      </c>
      <c r="C78" s="9" t="str">
        <f>IFERROR(__xludf.DUMMYFUNCTION("""COMPUTED_VALUE"""),"climate-trace")</f>
        <v>climate-trace</v>
      </c>
      <c r="D78" s="9" t="str">
        <f>IFERROR(__xludf.DUMMYFUNCTION("""COMPUTED_VALUE"""),"bauxite-mining")</f>
        <v>bauxite-mining</v>
      </c>
      <c r="E78" s="9">
        <f>IFERROR(__xludf.DUMMYFUNCTION("""COMPUTED_VALUE"""),1.0)</f>
        <v>1</v>
      </c>
    </row>
    <row r="79">
      <c r="A79" s="9" t="b">
        <f>IFERROR(__xludf.DUMMYFUNCTION("""COMPUTED_VALUE"""),FALSE)</f>
        <v>0</v>
      </c>
      <c r="B79" s="9" t="str">
        <f>IFERROR(__xludf.DUMMYFUNCTION("""COMPUTED_VALUE"""),"iron-mining")</f>
        <v>iron-mining</v>
      </c>
      <c r="C79" s="9" t="str">
        <f>IFERROR(__xludf.DUMMYFUNCTION("""COMPUTED_VALUE"""),"climate-trace")</f>
        <v>climate-trace</v>
      </c>
      <c r="D79" s="9" t="str">
        <f>IFERROR(__xludf.DUMMYFUNCTION("""COMPUTED_VALUE"""),"iron-mining")</f>
        <v>iron-mining</v>
      </c>
      <c r="E79" s="9">
        <f>IFERROR(__xludf.DUMMYFUNCTION("""COMPUTED_VALUE"""),1.0)</f>
        <v>1</v>
      </c>
    </row>
    <row r="80">
      <c r="A80" s="9" t="b">
        <f>IFERROR(__xludf.DUMMYFUNCTION("""COMPUTED_VALUE"""),FALSE)</f>
        <v>0</v>
      </c>
      <c r="B80" s="9" t="str">
        <f>IFERROR(__xludf.DUMMYFUNCTION("""COMPUTED_VALUE"""),"copper-mining")</f>
        <v>copper-mining</v>
      </c>
      <c r="C80" s="9" t="str">
        <f>IFERROR(__xludf.DUMMYFUNCTION("""COMPUTED_VALUE"""),"climate-trace")</f>
        <v>climate-trace</v>
      </c>
      <c r="D80" s="9" t="str">
        <f>IFERROR(__xludf.DUMMYFUNCTION("""COMPUTED_VALUE"""),"copper-mining")</f>
        <v>copper-mining</v>
      </c>
      <c r="E80" s="9">
        <f>IFERROR(__xludf.DUMMYFUNCTION("""COMPUTED_VALUE"""),1.0)</f>
        <v>1</v>
      </c>
    </row>
    <row r="81">
      <c r="A81" s="9" t="b">
        <f>IFERROR(__xludf.DUMMYFUNCTION("""COMPUTED_VALUE"""),FALSE)</f>
        <v>0</v>
      </c>
      <c r="B81" s="9" t="str">
        <f>IFERROR(__xludf.DUMMYFUNCTION("""COMPUTED_VALUE"""),"rock-quarrying")</f>
        <v>rock-quarrying</v>
      </c>
      <c r="C81" s="9" t="str">
        <f>IFERROR(__xludf.DUMMYFUNCTION("""COMPUTED_VALUE"""),"climate-trace")</f>
        <v>climate-trace</v>
      </c>
      <c r="D81" s="9" t="str">
        <f>IFERROR(__xludf.DUMMYFUNCTION("""COMPUTED_VALUE"""),"rock-quarrying")</f>
        <v>rock-quarrying</v>
      </c>
      <c r="E81" s="9">
        <f>IFERROR(__xludf.DUMMYFUNCTION("""COMPUTED_VALUE"""),1.0)</f>
        <v>1</v>
      </c>
    </row>
    <row r="82">
      <c r="A82" s="9" t="b">
        <f>IFERROR(__xludf.DUMMYFUNCTION("""COMPUTED_VALUE"""),FALSE)</f>
        <v>0</v>
      </c>
      <c r="B82" s="9" t="str">
        <f>IFERROR(__xludf.DUMMYFUNCTION("""COMPUTED_VALUE"""),"sand-quarrying")</f>
        <v>sand-quarrying</v>
      </c>
      <c r="C82" s="9" t="str">
        <f>IFERROR(__xludf.DUMMYFUNCTION("""COMPUTED_VALUE"""),"climate-trace")</f>
        <v>climate-trace</v>
      </c>
      <c r="D82" s="9" t="str">
        <f>IFERROR(__xludf.DUMMYFUNCTION("""COMPUTED_VALUE"""),"sand-quarrying")</f>
        <v>sand-quarrying</v>
      </c>
      <c r="E82" s="9">
        <f>IFERROR(__xludf.DUMMYFUNCTION("""COMPUTED_VALUE"""),1.0)</f>
        <v>1</v>
      </c>
    </row>
    <row r="83">
      <c r="A83" s="9" t="b">
        <f>IFERROR(__xludf.DUMMYFUNCTION("""COMPUTED_VALUE"""),FALSE)</f>
        <v>0</v>
      </c>
      <c r="B83" s="9" t="str">
        <f>IFERROR(__xludf.DUMMYFUNCTION("""COMPUTED_VALUE"""),"enteric-fermentation-cattle-feedlot")</f>
        <v>enteric-fermentation-cattle-feedlot</v>
      </c>
      <c r="C83" s="9" t="str">
        <f>IFERROR(__xludf.DUMMYFUNCTION("""COMPUTED_VALUE"""),"climate-trace")</f>
        <v>climate-trace</v>
      </c>
      <c r="D83" s="9" t="str">
        <f>IFERROR(__xludf.DUMMYFUNCTION("""COMPUTED_VALUE"""),"enteric-fermentation-cattle-feedlot")</f>
        <v>enteric-fermentation-cattle-feedlot</v>
      </c>
      <c r="E83" s="9">
        <f>IFERROR(__xludf.DUMMYFUNCTION("""COMPUTED_VALUE"""),1.0)</f>
        <v>1</v>
      </c>
    </row>
    <row r="84">
      <c r="A84" s="9" t="b">
        <f>IFERROR(__xludf.DUMMYFUNCTION("""COMPUTED_VALUE"""),FALSE)</f>
        <v>0</v>
      </c>
      <c r="B84" s="9" t="str">
        <f>IFERROR(__xludf.DUMMYFUNCTION("""COMPUTED_VALUE"""),"enteric-fermentation-cattle-pasture")</f>
        <v>enteric-fermentation-cattle-pasture</v>
      </c>
      <c r="C84" s="9" t="str">
        <f>IFERROR(__xludf.DUMMYFUNCTION("""COMPUTED_VALUE"""),"climate-trace")</f>
        <v>climate-trace</v>
      </c>
      <c r="D84" s="9" t="str">
        <f>IFERROR(__xludf.DUMMYFUNCTION("""COMPUTED_VALUE"""),"enteric-fermentation-cattle-pasture")</f>
        <v>enteric-fermentation-cattle-pasture</v>
      </c>
      <c r="E84" s="9">
        <f>IFERROR(__xludf.DUMMYFUNCTION("""COMPUTED_VALUE"""),1.0)</f>
        <v>1</v>
      </c>
    </row>
    <row r="85">
      <c r="A85" s="9" t="b">
        <f>IFERROR(__xludf.DUMMYFUNCTION("""COMPUTED_VALUE"""),FALSE)</f>
        <v>0</v>
      </c>
      <c r="B85" s="9" t="str">
        <f>IFERROR(__xludf.DUMMYFUNCTION("""COMPUTED_VALUE"""),"enteric-fermentation-other")</f>
        <v>enteric-fermentation-other</v>
      </c>
      <c r="C85" s="9" t="str">
        <f>IFERROR(__xludf.DUMMYFUNCTION("""COMPUTED_VALUE"""),"climate-trace")</f>
        <v>climate-trace</v>
      </c>
      <c r="D85" s="9" t="str">
        <f>IFERROR(__xludf.DUMMYFUNCTION("""COMPUTED_VALUE"""),"enteric-fermentation-other")</f>
        <v>enteric-fermentation-other</v>
      </c>
      <c r="E85" s="9">
        <f>IFERROR(__xludf.DUMMYFUNCTION("""COMPUTED_VALUE"""),1.0)</f>
        <v>1</v>
      </c>
    </row>
    <row r="86">
      <c r="A86" s="9" t="b">
        <f>IFERROR(__xludf.DUMMYFUNCTION("""COMPUTED_VALUE"""),FALSE)</f>
        <v>0</v>
      </c>
      <c r="B86" s="9" t="str">
        <f>IFERROR(__xludf.DUMMYFUNCTION("""COMPUTED_VALUE"""),"manure-left-on-pasture-cattle")</f>
        <v>manure-left-on-pasture-cattle</v>
      </c>
      <c r="C86" s="9" t="str">
        <f>IFERROR(__xludf.DUMMYFUNCTION("""COMPUTED_VALUE"""),"climate-trace")</f>
        <v>climate-trace</v>
      </c>
      <c r="D86" s="9" t="str">
        <f>IFERROR(__xludf.DUMMYFUNCTION("""COMPUTED_VALUE"""),"manure-left-on-pasture-cattle")</f>
        <v>manure-left-on-pasture-cattle</v>
      </c>
      <c r="E86" s="9">
        <f>IFERROR(__xludf.DUMMYFUNCTION("""COMPUTED_VALUE"""),1.0)</f>
        <v>1</v>
      </c>
    </row>
    <row r="87">
      <c r="A87" s="9" t="b">
        <f>IFERROR(__xludf.DUMMYFUNCTION("""COMPUTED_VALUE"""),FALSE)</f>
        <v>0</v>
      </c>
      <c r="B87" s="9" t="str">
        <f>IFERROR(__xludf.DUMMYFUNCTION("""COMPUTED_VALUE"""),"manure-management-cattle-feedlot")</f>
        <v>manure-management-cattle-feedlot</v>
      </c>
      <c r="C87" s="9" t="str">
        <f>IFERROR(__xludf.DUMMYFUNCTION("""COMPUTED_VALUE"""),"climate-trace")</f>
        <v>climate-trace</v>
      </c>
      <c r="D87" s="9" t="str">
        <f>IFERROR(__xludf.DUMMYFUNCTION("""COMPUTED_VALUE"""),"manure-management-cattle-feedlot")</f>
        <v>manure-management-cattle-feedlot</v>
      </c>
      <c r="E87" s="9">
        <f>IFERROR(__xludf.DUMMYFUNCTION("""COMPUTED_VALUE"""),1.0)</f>
        <v>1</v>
      </c>
    </row>
    <row r="88">
      <c r="A88" s="9" t="b">
        <f>IFERROR(__xludf.DUMMYFUNCTION("""COMPUTED_VALUE"""),FALSE)</f>
        <v>0</v>
      </c>
      <c r="B88" s="9" t="str">
        <f>IFERROR(__xludf.DUMMYFUNCTION("""COMPUTED_VALUE"""),"manure-management-other")</f>
        <v>manure-management-other</v>
      </c>
      <c r="C88" s="9" t="str">
        <f>IFERROR(__xludf.DUMMYFUNCTION("""COMPUTED_VALUE"""),"climate-trace")</f>
        <v>climate-trace</v>
      </c>
      <c r="D88" s="9" t="str">
        <f>IFERROR(__xludf.DUMMYFUNCTION("""COMPUTED_VALUE"""),"manure-management-other")</f>
        <v>manure-management-other</v>
      </c>
      <c r="E88" s="9">
        <f>IFERROR(__xludf.DUMMYFUNCTION("""COMPUTED_VALUE"""),1.0)</f>
        <v>1</v>
      </c>
    </row>
    <row r="89">
      <c r="A89" s="9" t="b">
        <f>IFERROR(__xludf.DUMMYFUNCTION("""COMPUTED_VALUE"""),FALSE)</f>
        <v>0</v>
      </c>
      <c r="B89" s="9" t="str">
        <f>IFERROR(__xludf.DUMMYFUNCTION("""COMPUTED_VALUE"""),"rice-cultivation")</f>
        <v>rice-cultivation</v>
      </c>
      <c r="C89" s="9" t="str">
        <f>IFERROR(__xludf.DUMMYFUNCTION("""COMPUTED_VALUE"""),"climate-trace")</f>
        <v>climate-trace</v>
      </c>
      <c r="D89" s="9" t="str">
        <f>IFERROR(__xludf.DUMMYFUNCTION("""COMPUTED_VALUE"""),"rice-cultivation")</f>
        <v>rice-cultivation</v>
      </c>
      <c r="E89" s="9">
        <f>IFERROR(__xludf.DUMMYFUNCTION("""COMPUTED_VALUE"""),1.0)</f>
        <v>1</v>
      </c>
    </row>
    <row r="90">
      <c r="A90" s="9" t="b">
        <f>IFERROR(__xludf.DUMMYFUNCTION("""COMPUTED_VALUE"""),FALSE)</f>
        <v>0</v>
      </c>
      <c r="B90" s="9" t="str">
        <f>IFERROR(__xludf.DUMMYFUNCTION("""COMPUTED_VALUE"""),"synthetic-fertilizer-application")</f>
        <v>synthetic-fertilizer-application</v>
      </c>
      <c r="C90" s="9" t="str">
        <f>IFERROR(__xludf.DUMMYFUNCTION("""COMPUTED_VALUE"""),"climate-trace")</f>
        <v>climate-trace</v>
      </c>
      <c r="D90" s="9" t="str">
        <f>IFERROR(__xludf.DUMMYFUNCTION("""COMPUTED_VALUE"""),"synthetic-fertilizer-application")</f>
        <v>synthetic-fertilizer-application</v>
      </c>
      <c r="E90" s="9">
        <f>IFERROR(__xludf.DUMMYFUNCTION("""COMPUTED_VALUE"""),1.0)</f>
        <v>1</v>
      </c>
    </row>
    <row r="91">
      <c r="A91" s="9" t="b">
        <f>IFERROR(__xludf.DUMMYFUNCTION("""COMPUTED_VALUE"""),FALSE)</f>
        <v>0</v>
      </c>
      <c r="B91" s="9" t="str">
        <f>IFERROR(__xludf.DUMMYFUNCTION("""COMPUTED_VALUE"""),"other-agricultural-soil-emissions")</f>
        <v>other-agricultural-soil-emissions</v>
      </c>
      <c r="C91" s="9" t="str">
        <f>IFERROR(__xludf.DUMMYFUNCTION("""COMPUTED_VALUE"""),"climate-trace")</f>
        <v>climate-trace</v>
      </c>
      <c r="D91" s="9" t="str">
        <f>IFERROR(__xludf.DUMMYFUNCTION("""COMPUTED_VALUE"""),"other-agricultural-soil-emissions")</f>
        <v>other-agricultural-soil-emissions</v>
      </c>
      <c r="E91" s="9">
        <f>IFERROR(__xludf.DUMMYFUNCTION("""COMPUTED_VALUE"""),1.0)</f>
        <v>1</v>
      </c>
    </row>
    <row r="92">
      <c r="A92" s="9" t="b">
        <f>IFERROR(__xludf.DUMMYFUNCTION("""COMPUTED_VALUE"""),FALSE)</f>
        <v>0</v>
      </c>
      <c r="B92" s="9" t="str">
        <f>IFERROR(__xludf.DUMMYFUNCTION("""COMPUTED_VALUE"""),"cropland-fires")</f>
        <v>cropland-fires</v>
      </c>
      <c r="C92" s="9" t="str">
        <f>IFERROR(__xludf.DUMMYFUNCTION("""COMPUTED_VALUE"""),"climate-trace")</f>
        <v>climate-trace</v>
      </c>
      <c r="D92" s="9" t="str">
        <f>IFERROR(__xludf.DUMMYFUNCTION("""COMPUTED_VALUE"""),"cropland-fires")</f>
        <v>cropland-fires</v>
      </c>
      <c r="E92" s="9">
        <f>IFERROR(__xludf.DUMMYFUNCTION("""COMPUTED_VALUE"""),1.0)</f>
        <v>1</v>
      </c>
    </row>
    <row r="93">
      <c r="A93" s="9" t="b">
        <f>IFERROR(__xludf.DUMMYFUNCTION("""COMPUTED_VALUE"""),FALSE)</f>
        <v>0</v>
      </c>
      <c r="B93" s="9" t="str">
        <f>IFERROR(__xludf.DUMMYFUNCTION("""COMPUTED_VALUE"""),"solid-waste-disposal")</f>
        <v>solid-waste-disposal</v>
      </c>
      <c r="C93" s="9" t="str">
        <f>IFERROR(__xludf.DUMMYFUNCTION("""COMPUTED_VALUE"""),"climate-trace")</f>
        <v>climate-trace</v>
      </c>
      <c r="D93" s="9" t="str">
        <f>IFERROR(__xludf.DUMMYFUNCTION("""COMPUTED_VALUE"""),"solid-waste-disposal")</f>
        <v>solid-waste-disposal</v>
      </c>
      <c r="E93" s="9">
        <f>IFERROR(__xludf.DUMMYFUNCTION("""COMPUTED_VALUE"""),1.0)</f>
        <v>1</v>
      </c>
    </row>
    <row r="94">
      <c r="A94" s="9" t="b">
        <f>IFERROR(__xludf.DUMMYFUNCTION("""COMPUTED_VALUE"""),FALSE)</f>
        <v>0</v>
      </c>
      <c r="B94" s="9" t="str">
        <f>IFERROR(__xludf.DUMMYFUNCTION("""COMPUTED_VALUE"""),"biological-treatment-of-solid-waste-and-biogenic")</f>
        <v>biological-treatment-of-solid-waste-and-biogenic</v>
      </c>
      <c r="C94" s="9" t="str">
        <f>IFERROR(__xludf.DUMMYFUNCTION("""COMPUTED_VALUE"""),"climate-trace")</f>
        <v>climate-trace</v>
      </c>
      <c r="D94" s="9" t="str">
        <f>IFERROR(__xludf.DUMMYFUNCTION("""COMPUTED_VALUE"""),"biological-treatment-of-solid-waste-and-biogenic")</f>
        <v>biological-treatment-of-solid-waste-and-biogenic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IFERROR(__xludf.DUMMYFUNCTION("""COMPUTED_VALUE"""),"incineration-and-open-burning-of-waste")</f>
        <v>incineration-and-open-burning-of-waste</v>
      </c>
      <c r="C95" s="9" t="str">
        <f>IFERROR(__xludf.DUMMYFUNCTION("""COMPUTED_VALUE"""),"climate-trace")</f>
        <v>climate-trace</v>
      </c>
      <c r="D95" s="9" t="str">
        <f>IFERROR(__xludf.DUMMYFUNCTION("""COMPUTED_VALUE"""),"incineration-and-open-burning-of-waste")</f>
        <v>incineration-and-open-burning-of-waste</v>
      </c>
      <c r="E95" s="9">
        <f>IFERROR(__xludf.DUMMYFUNCTION("""COMPUTED_VALUE"""),1.0)</f>
        <v>1</v>
      </c>
    </row>
    <row r="96">
      <c r="A96" s="9" t="b">
        <f>IFERROR(__xludf.DUMMYFUNCTION("""COMPUTED_VALUE"""),FALSE)</f>
        <v>0</v>
      </c>
      <c r="B96" s="9" t="str">
        <f>IFERROR(__xludf.DUMMYFUNCTION("""COMPUTED_VALUE"""),"wastewater-treatment-and-discharge")</f>
        <v>wastewater-treatment-and-discharge</v>
      </c>
      <c r="C96" s="9" t="str">
        <f>IFERROR(__xludf.DUMMYFUNCTION("""COMPUTED_VALUE"""),"climate-trace")</f>
        <v>climate-trace</v>
      </c>
      <c r="D96" s="9" t="str">
        <f>IFERROR(__xludf.DUMMYFUNCTION("""COMPUTED_VALUE"""),"wastewater-treatment-and-discharge")</f>
        <v>wastewater-treatment-and-discharge</v>
      </c>
      <c r="E96" s="9">
        <f>IFERROR(__xludf.DUMMYFUNCTION("""COMPUTED_VALUE"""),1.0)</f>
        <v>1</v>
      </c>
    </row>
    <row r="97">
      <c r="A97" s="9" t="b">
        <f>IFERROR(__xludf.DUMMYFUNCTION("""COMPUTED_VALUE"""),FALSE)</f>
        <v>0</v>
      </c>
      <c r="B97" s="9" t="str">
        <f>IFERROR(__xludf.DUMMYFUNCTION("""COMPUTED_VALUE"""),"fluorinated-gases")</f>
        <v>fluorinated-gases</v>
      </c>
      <c r="C97" s="9" t="str">
        <f>IFERROR(__xludf.DUMMYFUNCTION("""COMPUTED_VALUE"""),"climate-trace")</f>
        <v>climate-trace</v>
      </c>
      <c r="D97" s="9" t="str">
        <f>IFERROR(__xludf.DUMMYFUNCTION("""COMPUTED_VALUE"""),"fluorinated-gases")</f>
        <v>fluorinated-gases</v>
      </c>
      <c r="E97" s="9">
        <f>IFERROR(__xludf.DUMMYFUNCTION("""COMPUTED_VALUE"""),1.0)</f>
        <v>1</v>
      </c>
    </row>
    <row r="98">
      <c r="A98" s="9" t="b">
        <f>IFERROR(__xludf.DUMMYFUNCTION("""COMPUTED_VALUE"""),FALSE)</f>
        <v>0</v>
      </c>
      <c r="B98" s="9" t="str">
        <f>IFERROR(__xludf.DUMMYFUNCTION("""COMPUTED_VALUE"""),"forest-land-fires")</f>
        <v>forest-land-fires</v>
      </c>
      <c r="C98" s="9" t="str">
        <f>IFERROR(__xludf.DUMMYFUNCTION("""COMPUTED_VALUE"""),"climate-trace")</f>
        <v>climate-trace</v>
      </c>
      <c r="D98" s="9" t="str">
        <f>IFERROR(__xludf.DUMMYFUNCTION("""COMPUTED_VALUE"""),"forest-land-fires")</f>
        <v>forest-land-fires</v>
      </c>
      <c r="E98" s="9">
        <f>IFERROR(__xludf.DUMMYFUNCTION("""COMPUTED_VALUE"""),1.0)</f>
        <v>1</v>
      </c>
    </row>
    <row r="99">
      <c r="A99" s="9" t="b">
        <f>IFERROR(__xludf.DUMMYFUNCTION("""COMPUTED_VALUE"""),FALSE)</f>
        <v>0</v>
      </c>
      <c r="B99" s="9" t="str">
        <f>IFERROR(__xludf.DUMMYFUNCTION("""COMPUTED_VALUE"""),"forest-land-clearing")</f>
        <v>forest-land-clearing</v>
      </c>
      <c r="C99" s="9" t="str">
        <f>IFERROR(__xludf.DUMMYFUNCTION("""COMPUTED_VALUE"""),"climate-trace")</f>
        <v>climate-trace</v>
      </c>
      <c r="D99" s="9" t="str">
        <f>IFERROR(__xludf.DUMMYFUNCTION("""COMPUTED_VALUE"""),"forest-land-clearing")</f>
        <v>forest-land-clearing</v>
      </c>
      <c r="E99" s="9">
        <f>IFERROR(__xludf.DUMMYFUNCTION("""COMPUTED_VALUE"""),1.0)</f>
        <v>1</v>
      </c>
    </row>
    <row r="100">
      <c r="A100" s="9" t="b">
        <f>IFERROR(__xludf.DUMMYFUNCTION("""COMPUTED_VALUE"""),FALSE)</f>
        <v>0</v>
      </c>
      <c r="B100" s="9" t="str">
        <f>IFERROR(__xludf.DUMMYFUNCTION("""COMPUTED_VALUE"""),"forest-land-degradation")</f>
        <v>forest-land-degradation</v>
      </c>
      <c r="C100" s="9" t="str">
        <f>IFERROR(__xludf.DUMMYFUNCTION("""COMPUTED_VALUE"""),"climate-trace")</f>
        <v>climate-trace</v>
      </c>
      <c r="D100" s="9" t="str">
        <f>IFERROR(__xludf.DUMMYFUNCTION("""COMPUTED_VALUE"""),"forest-land-degradation")</f>
        <v>forest-land-degradation</v>
      </c>
      <c r="E100" s="9">
        <f>IFERROR(__xludf.DUMMYFUNCTION("""COMPUTED_VALUE"""),1.0)</f>
        <v>1</v>
      </c>
    </row>
    <row r="101">
      <c r="A101" s="9" t="b">
        <f>IFERROR(__xludf.DUMMYFUNCTION("""COMPUTED_VALUE"""),FALSE)</f>
        <v>0</v>
      </c>
      <c r="B101" s="9" t="str">
        <f>IFERROR(__xludf.DUMMYFUNCTION("""COMPUTED_VALUE"""),"net-forest-land")</f>
        <v>net-forest-land</v>
      </c>
      <c r="C101" s="9" t="str">
        <f>IFERROR(__xludf.DUMMYFUNCTION("""COMPUTED_VALUE"""),"climate-trace")</f>
        <v>climate-trace</v>
      </c>
      <c r="D101" s="9" t="str">
        <f>IFERROR(__xludf.DUMMYFUNCTION("""COMPUTED_VALUE"""),"net-forest-land")</f>
        <v>net-forest-land</v>
      </c>
      <c r="E101" s="9">
        <f>IFERROR(__xludf.DUMMYFUNCTION("""COMPUTED_VALUE"""),1.0)</f>
        <v>1</v>
      </c>
    </row>
    <row r="102">
      <c r="A102" s="9" t="b">
        <f>IFERROR(__xludf.DUMMYFUNCTION("""COMPUTED_VALUE"""),FALSE)</f>
        <v>0</v>
      </c>
      <c r="B102" s="9" t="str">
        <f>IFERROR(__xludf.DUMMYFUNCTION("""COMPUTED_VALUE"""),"net-shrubgrass")</f>
        <v>net-shrubgrass</v>
      </c>
      <c r="C102" s="9" t="str">
        <f>IFERROR(__xludf.DUMMYFUNCTION("""COMPUTED_VALUE"""),"climate-trace")</f>
        <v>climate-trace</v>
      </c>
      <c r="D102" s="9" t="str">
        <f>IFERROR(__xludf.DUMMYFUNCTION("""COMPUTED_VALUE"""),"net-shrubgrass")</f>
        <v>net-shrubgrass</v>
      </c>
      <c r="E102" s="9">
        <f>IFERROR(__xludf.DUMMYFUNCTION("""COMPUTED_VALUE"""),1.0)</f>
        <v>1</v>
      </c>
    </row>
    <row r="103">
      <c r="A103" s="9" t="b">
        <f>IFERROR(__xludf.DUMMYFUNCTION("""COMPUTED_VALUE"""),FALSE)</f>
        <v>0</v>
      </c>
      <c r="B103" s="9" t="str">
        <f>IFERROR(__xludf.DUMMYFUNCTION("""COMPUTED_VALUE"""),"net-wetland")</f>
        <v>net-wetland</v>
      </c>
      <c r="C103" s="9" t="str">
        <f>IFERROR(__xludf.DUMMYFUNCTION("""COMPUTED_VALUE"""),"climate-trace")</f>
        <v>climate-trace</v>
      </c>
      <c r="D103" s="9" t="str">
        <f>IFERROR(__xludf.DUMMYFUNCTION("""COMPUTED_VALUE"""),"net-wetland")</f>
        <v>net-wetland</v>
      </c>
      <c r="E103" s="9">
        <f>IFERROR(__xludf.DUMMYFUNCTION("""COMPUTED_VALUE"""),1.0)</f>
        <v>1</v>
      </c>
    </row>
    <row r="104">
      <c r="A104" s="9" t="b">
        <f>IFERROR(__xludf.DUMMYFUNCTION("""COMPUTED_VALUE"""),FALSE)</f>
        <v>0</v>
      </c>
      <c r="B104" s="9" t="str">
        <f>IFERROR(__xludf.DUMMYFUNCTION("""COMPUTED_VALUE"""),"shrubgrass-fires")</f>
        <v>shrubgrass-fires</v>
      </c>
      <c r="C104" s="9" t="str">
        <f>IFERROR(__xludf.DUMMYFUNCTION("""COMPUTED_VALUE"""),"climate-trace")</f>
        <v>climate-trace</v>
      </c>
      <c r="D104" s="9" t="str">
        <f>IFERROR(__xludf.DUMMYFUNCTION("""COMPUTED_VALUE"""),"shrubgrass-fires")</f>
        <v>shrubgrass-fires</v>
      </c>
      <c r="E104" s="9">
        <f>IFERROR(__xludf.DUMMYFUNCTION("""COMPUTED_VALUE"""),1.0)</f>
        <v>1</v>
      </c>
    </row>
    <row r="105">
      <c r="A105" s="9" t="b">
        <f>IFERROR(__xludf.DUMMYFUNCTION("""COMPUTED_VALUE"""),FALSE)</f>
        <v>0</v>
      </c>
      <c r="B105" s="9" t="str">
        <f>IFERROR(__xludf.DUMMYFUNCTION("""COMPUTED_VALUE"""),"wetland-fires")</f>
        <v>wetland-fires</v>
      </c>
      <c r="C105" s="9" t="str">
        <f>IFERROR(__xludf.DUMMYFUNCTION("""COMPUTED_VALUE"""),"climate-trace")</f>
        <v>climate-trace</v>
      </c>
      <c r="D105" s="9" t="str">
        <f>IFERROR(__xludf.DUMMYFUNCTION("""COMPUTED_VALUE"""),"wetland-fires")</f>
        <v>wetland-fires</v>
      </c>
      <c r="E105" s="9">
        <f>IFERROR(__xludf.DUMMYFUNCTION("""COMPUTED_VALUE"""),1.0)</f>
        <v>1</v>
      </c>
    </row>
    <row r="106">
      <c r="A106" s="9" t="b">
        <f>IFERROR(__xludf.DUMMYFUNCTION("""COMPUTED_VALUE"""),FALSE)</f>
        <v>0</v>
      </c>
      <c r="B106" s="9" t="str">
        <f>IFERROR(__xludf.DUMMYFUNCTION("""COMPUTED_VALUE"""),"removals")</f>
        <v>removals</v>
      </c>
      <c r="C106" s="9" t="str">
        <f>IFERROR(__xludf.DUMMYFUNCTION("""COMPUTED_VALUE"""),"climate-trace")</f>
        <v>climate-trace</v>
      </c>
      <c r="D106" s="9" t="str">
        <f>IFERROR(__xludf.DUMMYFUNCTION("""COMPUTED_VALUE"""),"removals")</f>
        <v>removals</v>
      </c>
      <c r="E106" s="9">
        <f>IFERROR(__xludf.DUMMYFUNCTION("""COMPUTED_VALUE"""),1.0)</f>
        <v>1</v>
      </c>
    </row>
    <row r="107">
      <c r="A107" s="9" t="b">
        <f>IFERROR(__xludf.DUMMYFUNCTION("""COMPUTED_VALUE"""),FALSE)</f>
        <v>0</v>
      </c>
      <c r="B107" s="9" t="str">
        <f>IFERROR(__xludf.DUMMYFUNCTION("""COMPUTED_VALUE"""),"water-reservoirs")</f>
        <v>water-reservoirs</v>
      </c>
      <c r="C107" s="9" t="str">
        <f>IFERROR(__xludf.DUMMYFUNCTION("""COMPUTED_VALUE"""),"climate-trace")</f>
        <v>climate-trace</v>
      </c>
      <c r="D107" s="9" t="str">
        <f>IFERROR(__xludf.DUMMYFUNCTION("""COMPUTED_VALUE"""),"water-reservoirs")</f>
        <v>water-reservoirs</v>
      </c>
      <c r="E107" s="9">
        <f>IFERROR(__xludf.DUMMYFUNCTION("""COMPUTED_VALUE"""),1.0)</f>
        <v>1</v>
      </c>
    </row>
    <row r="108">
      <c r="A108" s="9"/>
      <c r="B108" s="9"/>
      <c r="C108" s="9"/>
      <c r="D108" s="9"/>
      <c r="E108" s="9"/>
    </row>
    <row r="109">
      <c r="A109" s="9"/>
      <c r="B109" s="9"/>
      <c r="C109" s="9"/>
      <c r="D109" s="9"/>
      <c r="E109" s="9"/>
    </row>
    <row r="110">
      <c r="A110" s="9"/>
      <c r="B110" s="9"/>
      <c r="C110" s="9"/>
      <c r="D110" s="9"/>
      <c r="E110" s="9"/>
    </row>
    <row r="111">
      <c r="A111" s="9"/>
      <c r="B111" s="9"/>
      <c r="C111" s="9"/>
      <c r="D111" s="9"/>
      <c r="E111" s="9"/>
    </row>
    <row r="112">
      <c r="A112" s="9"/>
      <c r="B112" s="9"/>
      <c r="C112" s="9"/>
      <c r="D112" s="9"/>
      <c r="E112" s="9"/>
    </row>
    <row r="113">
      <c r="A113" s="9"/>
      <c r="B113" s="9"/>
      <c r="C113" s="9"/>
      <c r="D113" s="9"/>
      <c r="E113" s="9"/>
    </row>
    <row r="114">
      <c r="A114" s="9"/>
      <c r="B114" s="9"/>
      <c r="C114" s="9"/>
      <c r="D114" s="9"/>
      <c r="E114" s="9"/>
    </row>
    <row r="115">
      <c r="A115" s="9"/>
      <c r="B115" s="9"/>
      <c r="C115" s="9"/>
      <c r="D115" s="9"/>
      <c r="E115" s="9"/>
    </row>
    <row r="116">
      <c r="A116" s="9"/>
      <c r="B116" s="9"/>
      <c r="C116" s="9"/>
      <c r="D116" s="9"/>
      <c r="E116" s="9"/>
    </row>
    <row r="117">
      <c r="A117" s="9"/>
      <c r="B117" s="9"/>
      <c r="C117" s="9"/>
      <c r="D117" s="9"/>
      <c r="E117" s="9"/>
    </row>
    <row r="118">
      <c r="A118" s="9"/>
      <c r="B118" s="9"/>
      <c r="C118" s="9"/>
      <c r="D118" s="9"/>
      <c r="E118" s="9"/>
    </row>
    <row r="119">
      <c r="A119" s="9"/>
      <c r="B119" s="9"/>
      <c r="C119" s="9"/>
      <c r="D119" s="9"/>
      <c r="E119" s="9"/>
    </row>
    <row r="120">
      <c r="A120" s="9"/>
      <c r="B120" s="9"/>
      <c r="C120" s="9"/>
      <c r="D120" s="9"/>
      <c r="E120" s="9"/>
    </row>
    <row r="121">
      <c r="A121" s="9"/>
      <c r="B121" s="9"/>
      <c r="C121" s="9"/>
      <c r="D121" s="9"/>
      <c r="E121" s="9"/>
    </row>
    <row r="122">
      <c r="A122" s="9"/>
      <c r="B122" s="9"/>
      <c r="C122" s="9"/>
      <c r="D122" s="9"/>
      <c r="E122" s="9"/>
    </row>
    <row r="123">
      <c r="A123" s="9"/>
      <c r="B123" s="9"/>
      <c r="C123" s="9"/>
      <c r="D123" s="9"/>
      <c r="E123" s="9"/>
    </row>
    <row r="124">
      <c r="A124" s="9"/>
      <c r="B124" s="9"/>
      <c r="C124" s="9"/>
      <c r="D124" s="9"/>
      <c r="E124" s="9"/>
    </row>
    <row r="125">
      <c r="A125" s="9"/>
      <c r="B125" s="9"/>
      <c r="C125" s="9"/>
      <c r="D125" s="9"/>
      <c r="E125" s="9"/>
    </row>
    <row r="126">
      <c r="A126" s="9"/>
      <c r="B126" s="9"/>
      <c r="C126" s="9"/>
      <c r="D126" s="9"/>
      <c r="E126" s="9"/>
    </row>
    <row r="127">
      <c r="A127" s="9"/>
      <c r="B127" s="9"/>
      <c r="C127" s="9"/>
      <c r="D127" s="9"/>
      <c r="E127" s="9"/>
    </row>
    <row r="128">
      <c r="A128" s="9"/>
      <c r="B128" s="9"/>
      <c r="C128" s="9"/>
      <c r="D128" s="9"/>
      <c r="E128" s="9"/>
    </row>
    <row r="129">
      <c r="A129" s="9"/>
      <c r="B129" s="9"/>
      <c r="C129" s="9"/>
      <c r="D129" s="9"/>
      <c r="E129" s="9"/>
    </row>
    <row r="130">
      <c r="A130" s="9"/>
      <c r="B130" s="9"/>
      <c r="C130" s="9"/>
      <c r="D130" s="9"/>
      <c r="E130" s="9"/>
    </row>
    <row r="131">
      <c r="A131" s="9"/>
      <c r="B131" s="9"/>
      <c r="C131" s="9"/>
      <c r="D131" s="9"/>
      <c r="E131" s="9"/>
    </row>
    <row r="132">
      <c r="A132" s="9"/>
      <c r="B132" s="9"/>
      <c r="C132" s="9"/>
      <c r="D132" s="9"/>
      <c r="E132" s="9"/>
    </row>
    <row r="133">
      <c r="A133" s="9"/>
      <c r="B133" s="9"/>
      <c r="C133" s="9"/>
      <c r="D133" s="9"/>
      <c r="E133" s="9"/>
    </row>
    <row r="134">
      <c r="A134" s="9"/>
      <c r="B134" s="9"/>
      <c r="C134" s="9"/>
      <c r="D134" s="9"/>
      <c r="E134" s="9"/>
    </row>
    <row r="135">
      <c r="A135" s="9"/>
      <c r="B135" s="9"/>
      <c r="C135" s="9"/>
      <c r="D135" s="9"/>
      <c r="E135" s="9"/>
    </row>
    <row r="136">
      <c r="A136" s="9"/>
      <c r="B136" s="9"/>
      <c r="C136" s="9"/>
      <c r="D136" s="9"/>
      <c r="E136" s="9"/>
    </row>
    <row r="137">
      <c r="A137" s="9"/>
      <c r="B137" s="9"/>
      <c r="C137" s="9"/>
      <c r="D137" s="9"/>
      <c r="E137" s="9"/>
    </row>
    <row r="138">
      <c r="A138" s="9"/>
      <c r="B138" s="9"/>
      <c r="C138" s="9"/>
      <c r="D138" s="9"/>
      <c r="E138" s="9"/>
    </row>
    <row r="139">
      <c r="A139" s="9"/>
      <c r="B139" s="9"/>
      <c r="C139" s="9"/>
      <c r="D139" s="9"/>
      <c r="E139" s="9"/>
    </row>
    <row r="140">
      <c r="A140" s="9"/>
      <c r="B140" s="9"/>
      <c r="C140" s="9"/>
      <c r="D140" s="9"/>
      <c r="E140" s="9"/>
    </row>
    <row r="141">
      <c r="A141" s="9"/>
      <c r="B141" s="9"/>
      <c r="C141" s="9"/>
      <c r="D141" s="9"/>
      <c r="E141" s="9"/>
    </row>
    <row r="142">
      <c r="A142" s="9"/>
      <c r="B142" s="9"/>
      <c r="C142" s="9"/>
      <c r="D142" s="9"/>
      <c r="E142" s="9"/>
    </row>
    <row r="143">
      <c r="A143" s="9"/>
      <c r="B143" s="9"/>
      <c r="C143" s="9"/>
      <c r="D143" s="9"/>
      <c r="E143" s="9"/>
    </row>
    <row r="144">
      <c r="A144" s="9"/>
      <c r="B144" s="9"/>
      <c r="C144" s="9"/>
      <c r="D144" s="9"/>
      <c r="E144" s="9"/>
    </row>
    <row r="145">
      <c r="A145" s="9"/>
      <c r="B145" s="9"/>
      <c r="C145" s="9"/>
      <c r="D145" s="9"/>
      <c r="E145" s="9"/>
    </row>
    <row r="146">
      <c r="A146" s="9"/>
      <c r="B146" s="9"/>
      <c r="C146" s="9"/>
      <c r="D146" s="9"/>
      <c r="E146" s="9"/>
    </row>
    <row r="147">
      <c r="A147" s="9"/>
      <c r="B147" s="9"/>
      <c r="C147" s="9"/>
      <c r="D147" s="9"/>
      <c r="E147" s="9"/>
    </row>
    <row r="148">
      <c r="A148" s="9"/>
      <c r="B148" s="9"/>
      <c r="C148" s="9"/>
      <c r="D148" s="9"/>
      <c r="E148" s="9"/>
    </row>
    <row r="149">
      <c r="A149" s="9"/>
      <c r="B149" s="9"/>
      <c r="C149" s="9"/>
      <c r="D149" s="9"/>
      <c r="E149" s="9"/>
    </row>
    <row r="150">
      <c r="A150" s="9"/>
      <c r="B150" s="9"/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63"/>
    <col customWidth="1" min="3" max="3" width="19.25"/>
    <col customWidth="1" min="4" max="4" width="21.75"/>
  </cols>
  <sheetData>
    <row r="1">
      <c r="A1" s="9" t="str">
        <f>IFERROR(__xludf.DUMMYFUNCTION("IMPORTRANGE(""https://docs.google.com/spreadsheets/d/1crBeTIm7isN5EkvLbmkhoZYJqep1xzNwDVNnIu94l6E/edit#gid=0"", ""unfccc-graph-utility!A1:J200"")"),"Annex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IFERROR(__xludf.DUMMYFUNCTION("""COMPUTED_VALUE"""),"unfccc_annex_1")</f>
        <v>unfccc_annex_1</v>
      </c>
      <c r="D2" s="9" t="str">
        <f>IFERROR(__xludf.DUMMYFUNCTION("""COMPUTED_VALUE"""),"1.A.1.a.i  Electricity Generation")</f>
        <v>1.A.1.a.i  Electricity Generation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  Combined Heat and Power Generation")</f>
        <v>1.A.1.a.ii  Combined Heat and Power Generation</v>
      </c>
      <c r="E3" s="9">
        <f>IFERROR(__xludf.DUMMYFUNCTION("""COMPUTED_VALUE"""),1.0)</f>
        <v>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IFERROR(__xludf.DUMMYFUNCTION("""COMPUTED_VALUE"""),"other-energy-use")</f>
        <v>other-energy-use</v>
      </c>
      <c r="C4" s="9" t="str">
        <f>IFERROR(__xludf.DUMMYFUNCTION("""COMPUTED_VALUE"""),"unfccc_annex_1")</f>
        <v>unfccc_annex_1</v>
      </c>
      <c r="D4" s="9" t="str">
        <f>IFERROR(__xludf.DUMMYFUNCTION("""COMPUTED_VALUE"""),"1.A.1.a.iii  Heat Plants")</f>
        <v>1.A.1.a.iii  Heat Plants</v>
      </c>
      <c r="E4" s="9">
        <f>IFERROR(__xludf.DUMMYFUNCTION("""COMPUTED_VALUE"""),1.0)</f>
        <v>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IFERROR(__xludf.DUMMYFUNCTION("""COMPUTED_VALUE"""),"other-energy-use")</f>
        <v>other-energy-use</v>
      </c>
      <c r="C5" s="9" t="str">
        <f>IFERROR(__xludf.DUMMYFUNCTION("""COMPUTED_VALUE"""),"unfccc_annex_1")</f>
        <v>unfccc_annex_1</v>
      </c>
      <c r="D5" s="9" t="str">
        <f>IFERROR(__xludf.DUMMYFUNCTION("""COMPUTED_VALUE"""),"1.A.1.a.iv  Other")</f>
        <v>1.A.1.a.iv  Other</v>
      </c>
      <c r="E5" s="9">
        <f>IFERROR(__xludf.DUMMYFUNCTION("""COMPUTED_VALUE"""),1.0)</f>
        <v>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IFERROR(__xludf.DUMMYFUNCTION("""COMPUTED_VALUE"""),"1.A.3.a  Domestic Aviation")</f>
        <v>1.A.3.a  Domestic Aviation</v>
      </c>
      <c r="E6" s="9">
        <f>IFERROR(__xludf.DUMMYFUNCTION("""COMPUTED_VALUE"""),1.0)</f>
        <v>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IFERROR(__xludf.DUMMYFUNCTION("""COMPUTED_VALUE"""),"international-aviation")</f>
        <v>international-aviation</v>
      </c>
      <c r="C7" s="9" t="str">
        <f>IFERROR(__xludf.DUMMYFUNCTION("""COMPUTED_VALUE"""),"unfccc_annex_1")</f>
        <v>unfccc_annex_1</v>
      </c>
      <c r="D7" s="9" t="str">
        <f>IFERROR(__xludf.DUMMYFUNCTION("""COMPUTED_VALUE"""),"International Aviation")</f>
        <v>International Aviation</v>
      </c>
      <c r="E7" s="9">
        <f>IFERROR(__xludf.DUMMYFUNCTION("""COMPUTED_VALUE"""),1.0)</f>
        <v>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IFERROR(__xludf.DUMMYFUNCTION("""COMPUTED_VALUE"""),"road-transportation")</f>
        <v>road-transportation</v>
      </c>
      <c r="C8" s="9" t="str">
        <f>IFERROR(__xludf.DUMMYFUNCTION("""COMPUTED_VALUE"""),"unfccc_annex_1")</f>
        <v>unfccc_annex_1</v>
      </c>
      <c r="D8" s="9" t="str">
        <f>IFERROR(__xludf.DUMMYFUNCTION("""COMPUTED_VALUE"""),"1.A.3.b  Road Transportation")</f>
        <v>1.A.3.b  Road Transportation</v>
      </c>
      <c r="E8" s="9">
        <f>IFERROR(__xludf.DUMMYFUNCTION("""COMPUTED_VALUE"""),1.0)</f>
        <v>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IFERROR(__xludf.DUMMYFUNCTION("""COMPUTED_VALUE"""),"international-shipping")</f>
        <v>international-shipping</v>
      </c>
      <c r="C9" s="9" t="str">
        <f>IFERROR(__xludf.DUMMYFUNCTION("""COMPUTED_VALUE"""),"unfccc_annex_1")</f>
        <v>unfccc_annex_1</v>
      </c>
      <c r="D9" s="9" t="str">
        <f>IFERROR(__xludf.DUMMYFUNCTION("""COMPUTED_VALUE"""),"International Navigation")</f>
        <v>International Navigation</v>
      </c>
      <c r="E9" s="9">
        <f>IFERROR(__xludf.DUMMYFUNCTION("""COMPUTED_VALUE"""),1.0)</f>
        <v>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IFERROR(__xludf.DUMMYFUNCTION("""COMPUTED_VALUE"""),"domestic-shipping")</f>
        <v>domestic-shipping</v>
      </c>
      <c r="C10" s="9" t="str">
        <f>IFERROR(__xludf.DUMMYFUNCTION("""COMPUTED_VALUE"""),"unfccc_annex_1")</f>
        <v>unfccc_annex_1</v>
      </c>
      <c r="D10" s="9" t="str">
        <f>IFERROR(__xludf.DUMMYFUNCTION("""COMPUTED_VALUE"""),"1.A.3.d  Domestic Navigation")</f>
        <v>1.A.3.d  Domestic Navigation</v>
      </c>
      <c r="E10" s="9">
        <f>IFERROR(__xludf.DUMMYFUNCTION("""COMPUTED_VALUE"""),1.0)</f>
        <v>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IFERROR(__xludf.DUMMYFUNCTION("""COMPUTED_VALUE"""),"other-transport")</f>
        <v>other-transport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IFERROR(__xludf.DUMMYFUNCTION("""COMPUTED_VALUE"""),"1.A.3.e  Other Transportation")</f>
        <v>1.A.3.e  Other Transportation</v>
      </c>
      <c r="E11" s="9">
        <f>IFERROR(__xludf.DUMMYFUNCTION("""COMPUTED_VALUE"""),1.0)</f>
        <v>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IFERROR(__xludf.DUMMYFUNCTION("""COMPUTED_VALUE"""),"residential-and-commercial-onsite-fuel-usage")</f>
        <v>residential-and-commercial-onsite-fuel-usage</v>
      </c>
      <c r="C12" s="9" t="str">
        <f>IFERROR(__xludf.DUMMYFUNCTION("""COMPUTED_VALUE"""),"unfccc_annex_1")</f>
        <v>unfccc_annex_1</v>
      </c>
      <c r="D12" s="9" t="str">
        <f>IFERROR(__xludf.DUMMYFUNCTION("""COMPUTED_VALUE"""),"1.A.4  Other Sectors ")</f>
        <v>1.A.4  Other Sectors </v>
      </c>
      <c r="E12" s="9">
        <f>IFERROR(__xludf.DUMMYFUNCTION("""COMPUTED_VALUE"""),1.0)</f>
        <v>1</v>
      </c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IFERROR(__xludf.DUMMYFUNCTION("""COMPUTED_VALUE"""),"other-onsite-fuel-usage")</f>
        <v>other-onsite-fuel-usage</v>
      </c>
      <c r="C13" s="9" t="str">
        <f>IFERROR(__xludf.DUMMYFUNCTION("""COMPUTED_VALUE"""),"unfccc_annex_1")</f>
        <v>unfccc_annex_1</v>
      </c>
      <c r="D13" s="9" t="str">
        <f>IFERROR(__xludf.DUMMYFUNCTION("""COMPUTED_VALUE"""),"1.A.5  Other (Not specified elsewhere)")</f>
        <v>1.A.5  Other (Not specified elsewhere)</v>
      </c>
      <c r="E13" s="9">
        <f>IFERROR(__xludf.DUMMYFUNCTION("""COMPUTED_VALUE"""),1.0)</f>
        <v>1</v>
      </c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IFERROR(__xludf.DUMMYFUNCTION("""COMPUTED_VALUE"""),"coal-mining")</f>
        <v>coal-mining</v>
      </c>
      <c r="C14" s="9" t="str">
        <f>IFERROR(__xludf.DUMMYFUNCTION("""COMPUTED_VALUE"""),"unfccc_annex_1")</f>
        <v>unfccc_annex_1</v>
      </c>
      <c r="D14" s="9" t="str">
        <f>IFERROR(__xludf.DUMMYFUNCTION("""COMPUTED_VALUE"""),"1.B.1.a  Coal Mining and Handling")</f>
        <v>1.B.1.a  Coal Mining and Handling</v>
      </c>
      <c r="E14" s="9">
        <f>IFERROR(__xludf.DUMMYFUNCTION("""COMPUTED_VALUE"""),1.0)</f>
        <v>1</v>
      </c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IFERROR(__xludf.DUMMYFUNCTION("""COMPUTED_VALUE"""),"solid-fuel-transformation")</f>
        <v>solid-fuel-transformation</v>
      </c>
      <c r="C15" s="9" t="str">
        <f>IFERROR(__xludf.DUMMYFUNCTION("""COMPUTED_VALUE"""),"unfccc_annex_1")</f>
        <v>unfccc_annex_1</v>
      </c>
      <c r="D15" s="9" t="str">
        <f>IFERROR(__xludf.DUMMYFUNCTION("""COMPUTED_VALUE"""),"1.B.1.b  Solid Fuel Transformation")</f>
        <v>1.B.1.b  Solid Fuel Transformation</v>
      </c>
      <c r="E15" s="9">
        <f>IFERROR(__xludf.DUMMYFUNCTION("""COMPUTED_VALUE"""),1.0)</f>
        <v>1</v>
      </c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IFERROR(__xludf.DUMMYFUNCTION("""COMPUTED_VALUE"""),"solid-fuel-transformation")</f>
        <v>solid-fuel-transformation</v>
      </c>
      <c r="C16" s="9" t="str">
        <f>IFERROR(__xludf.DUMMYFUNCTION("""COMPUTED_VALUE"""),"unfccc_annex_1")</f>
        <v>unfccc_annex_1</v>
      </c>
      <c r="D16" s="9" t="str">
        <f>IFERROR(__xludf.DUMMYFUNCTION("""COMPUTED_VALUE"""),"1.B.1.c  Other")</f>
        <v>1.B.1.c  Other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IFERROR(__xludf.DUMMYFUNCTION("""COMPUTED_VALUE"""),"oil-and-gas-production-and-transport")</f>
        <v>oil-and-gas-production-and-transport</v>
      </c>
      <c r="C17" s="9" t="str">
        <f>IFERROR(__xludf.DUMMYFUNCTION("""COMPUTED_VALUE"""),"unfccc_annex_1")</f>
        <v>unfccc_annex_1</v>
      </c>
      <c r="D17" s="9" t="str">
        <f>IFERROR(__xludf.DUMMYFUNCTION("""COMPUTED_VALUE"""),"1.B.2.a.i  Exploration")</f>
        <v>1.B.2.a.i  Exploration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IFERROR(__xludf.DUMMYFUNCTION("""COMPUTED_VALUE"""),"oil-and-gas-production-and-transport")</f>
        <v>oil-and-gas-production-and-transport</v>
      </c>
      <c r="C18" s="9" t="str">
        <f>IFERROR(__xludf.DUMMYFUNCTION("""COMPUTED_VALUE"""),"unfccc_annex_1")</f>
        <v>unfccc_annex_1</v>
      </c>
      <c r="D18" s="9" t="str">
        <f>IFERROR(__xludf.DUMMYFUNCTION("""COMPUTED_VALUE"""),"1.B.2.a.ii  Production")</f>
        <v>1.B.2.a.ii  Production</v>
      </c>
      <c r="E18" s="9">
        <f>IFERROR(__xludf.DUMMYFUNCTION("""COMPUTED_VALUE"""),1.0)</f>
        <v>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IFERROR(__xludf.DUMMYFUNCTION("""COMPUTED_VALUE"""),"unfccc_annex_1")</f>
        <v>unfccc_annex_1</v>
      </c>
      <c r="D19" s="9" t="str">
        <f>IFERROR(__xludf.DUMMYFUNCTION("""COMPUTED_VALUE"""),"1.B.2.a.iii  Transport")</f>
        <v>1.B.2.a.iii  Transport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IFERROR(__xludf.DUMMYFUNCTION("""COMPUTED_VALUE"""),"1.B.2.c  Venting and Flaring")</f>
        <v>1.B.2.c  Venting and Flaring</v>
      </c>
      <c r="E20" s="9">
        <f>IFERROR(__xludf.DUMMYFUNCTION("""COMPUTED_VALUE"""),1.0)</f>
        <v>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IFERROR(__xludf.DUMMYFUNCTION("""COMPUTED_VALUE"""),"unfccc_annex_1")</f>
        <v>unfccc_annex_1</v>
      </c>
      <c r="D21" s="9" t="str">
        <f>IFERROR(__xludf.DUMMYFUNCTION("""COMPUTED_VALUE"""),"1.B.2.b.i  Exploration")</f>
        <v>1.B.2.b.i  Exploration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IFERROR(__xludf.DUMMYFUNCTION("""COMPUTED_VALUE"""),"1.B.2.b.ii  Production")</f>
        <v>1.B.2.b.ii  Production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IFERROR(__xludf.DUMMYFUNCTION("""COMPUTED_VALUE"""),"1.B.2.b.iii  Processing")</f>
        <v>1.B.2.b.iii  Processing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IFERROR(__xludf.DUMMYFUNCTION("""COMPUTED_VALUE"""),"1.B.2.b.iv  Transmission and Storage")</f>
        <v>1.B.2.b.iv  Transmission and Storage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IFERROR(__xludf.DUMMYFUNCTION("""COMPUTED_VALUE"""),"1.A.1.c.ii  Oil and Gas Extraction")</f>
        <v>1.A.1.c.ii  Oil and Gas Extraction</v>
      </c>
      <c r="E25" s="9">
        <f>IFERROR(__xludf.DUMMYFUNCTION("""COMPUTED_VALUE"""),1.0)</f>
        <v>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IFERROR(__xludf.DUMMYFUNCTION("""COMPUTED_VALUE"""),"1.A.1.b  Petroleum Refining")</f>
        <v>1.A.1.b  Petroleum Refining</v>
      </c>
      <c r="E26" s="9">
        <f>IFERROR(__xludf.DUMMYFUNCTION("""COMPUTED_VALUE"""),1.0)</f>
        <v>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IFERROR(__xludf.DUMMYFUNCTION("""COMPUTED_VALUE"""),"1.B.2.a.iv  Refining / Storage")</f>
        <v>1.B.2.a.iv  Refining / Storage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 t="str">
        <f>IFERROR(__xludf.DUMMYFUNCTION("""COMPUTED_VALUE"""),"unfccc_annex_1")</f>
        <v>unfccc_annex_1</v>
      </c>
      <c r="D28" s="9" t="str">
        <f>IFERROR(__xludf.DUMMYFUNCTION("""COMPUTED_VALUE"""),"2.B.8.b  Ethylene")</f>
        <v>2.B.8.b  Ethylene</v>
      </c>
      <c r="E28" s="9">
        <f>IFERROR(__xludf.DUMMYFUNCTION("""COMPUTED_VALUE"""),1.0)</f>
        <v>1</v>
      </c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IFERROR(__xludf.DUMMYFUNCTION("""COMPUTED_VALUE"""),"other-fossil-fuel-operations")</f>
        <v>other-fossil-fuel-operations</v>
      </c>
      <c r="C29" s="9" t="str">
        <f>IFERROR(__xludf.DUMMYFUNCTION("""COMPUTED_VALUE"""),"unfccc_annex_1")</f>
        <v>unfccc_annex_1</v>
      </c>
      <c r="D29" s="9" t="str">
        <f>IFERROR(__xludf.DUMMYFUNCTION("""COMPUTED_VALUE"""),"1.B.2.b.vi  Other")</f>
        <v>1.B.2.b.vi  Other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IFERROR(__xludf.DUMMYFUNCTION("""COMPUTED_VALUE"""),"other-fossil-fuel-operations")</f>
        <v>other-fossil-fuel-operations</v>
      </c>
      <c r="C30" s="9" t="str">
        <f>IFERROR(__xludf.DUMMYFUNCTION("""COMPUTED_VALUE"""),"unfccc_annex_1")</f>
        <v>unfccc_annex_1</v>
      </c>
      <c r="D30" s="9" t="str">
        <f>IFERROR(__xludf.DUMMYFUNCTION("""COMPUTED_VALUE"""),"1.B.2.a.vi  Other")</f>
        <v>1.B.2.a.vi  Other</v>
      </c>
      <c r="E30" s="9">
        <f>IFERROR(__xludf.DUMMYFUNCTION("""COMPUTED_VALUE"""),1.0)</f>
        <v>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IFERROR(__xludf.DUMMYFUNCTION("""COMPUTED_VALUE"""),"other-fossil-fuel-operations")</f>
        <v>other-fossil-fuel-operations</v>
      </c>
      <c r="C31" s="9" t="str">
        <f>IFERROR(__xludf.DUMMYFUNCTION("""COMPUTED_VALUE"""),"unfccc_annex_1")</f>
        <v>unfccc_annex_1</v>
      </c>
      <c r="D31" s="9" t="str">
        <f>IFERROR(__xludf.DUMMYFUNCTION("""COMPUTED_VALUE"""),"1.B.2.d  Other")</f>
        <v>1.B.2.d  Other</v>
      </c>
      <c r="E31" s="9">
        <f>IFERROR(__xludf.DUMMYFUNCTION("""COMPUTED_VALUE"""),1.0)</f>
        <v>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IFERROR(__xludf.DUMMYFUNCTION("""COMPUTED_VALUE"""),"other-fossil-fuel-operations")</f>
        <v>other-fossil-fuel-operations</v>
      </c>
      <c r="C32" s="9" t="str">
        <f>IFERROR(__xludf.DUMMYFUNCTION("""COMPUTED_VALUE"""),"unfccc_annex_1")</f>
        <v>unfccc_annex_1</v>
      </c>
      <c r="D32" s="9" t="str">
        <f>IFERROR(__xludf.DUMMYFUNCTION("""COMPUTED_VALUE"""),"1.B.2.b.v  Distribution")</f>
        <v>1.B.2.b.v  Distribution</v>
      </c>
      <c r="E32" s="9">
        <f>IFERROR(__xludf.DUMMYFUNCTION("""COMPUTED_VALUE"""),1.0)</f>
        <v>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IFERROR(__xludf.DUMMYFUNCTION("""COMPUTED_VALUE"""),"other-fossil-fuel-operations")</f>
        <v>other-fossil-fuel-operations</v>
      </c>
      <c r="C33" s="9" t="str">
        <f>IFERROR(__xludf.DUMMYFUNCTION("""COMPUTED_VALUE"""),"unfccc_annex_1")</f>
        <v>unfccc_annex_1</v>
      </c>
      <c r="D33" s="9" t="str">
        <f>IFERROR(__xludf.DUMMYFUNCTION("""COMPUTED_VALUE"""),"1.B.2.a.v  Distribution of Oil Products")</f>
        <v>1.B.2.a.v  Distribution of Oil Products</v>
      </c>
      <c r="E33" s="9">
        <f>IFERROR(__xludf.DUMMYFUNCTION("""COMPUTED_VALUE"""),1.0)</f>
        <v>1</v>
      </c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IFERROR(__xludf.DUMMYFUNCTION("""COMPUTED_VALUE"""),"other-fossil-fuel-operations")</f>
        <v>other-fossil-fuel-operations</v>
      </c>
      <c r="C34" s="9" t="str">
        <f>IFERROR(__xludf.DUMMYFUNCTION("""COMPUTED_VALUE"""),"unfccc_annex_1")</f>
        <v>unfccc_annex_1</v>
      </c>
      <c r="D34" s="9" t="str">
        <f>IFERROR(__xludf.DUMMYFUNCTION("""COMPUTED_VALUE"""),"1.A.1.c.i  Manufacture of Solid Fuels")</f>
        <v>1.A.1.c.i  Manufacture of Solid Fuels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IFERROR(__xludf.DUMMYFUNCTION("""COMPUTED_VALUE"""),"other-fossil-fuel-operations")</f>
        <v>other-fossil-fuel-operations</v>
      </c>
      <c r="C35" s="9" t="str">
        <f>IFERROR(__xludf.DUMMYFUNCTION("""COMPUTED_VALUE"""),"unfccc_annex_1")</f>
        <v>unfccc_annex_1</v>
      </c>
      <c r="D35" s="9" t="str">
        <f>IFERROR(__xludf.DUMMYFUNCTION("""COMPUTED_VALUE"""),"1.A.1.c.iii  Other Energy Industries")</f>
        <v>1.A.1.c.iii  Other Energy Industries</v>
      </c>
      <c r="E35" s="9">
        <f>IFERROR(__xludf.DUMMYFUNCTION("""COMPUTED_VALUE"""),1.0)</f>
        <v>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IFERROR(__xludf.DUMMYFUNCTION("""COMPUTED_VALUE"""),"other-fossil-fuel-operations")</f>
        <v>other-fossil-fuel-operations</v>
      </c>
      <c r="C36" s="9" t="str">
        <f>IFERROR(__xludf.DUMMYFUNCTION("""COMPUTED_VALUE"""),"unfccc_annex_1")</f>
        <v>unfccc_annex_1</v>
      </c>
      <c r="D36" s="9" t="str">
        <f>IFERROR(__xludf.DUMMYFUNCTION("""COMPUTED_VALUE"""),"1.A.1.c.iv  Other")</f>
        <v>1.A.1.c.iv  Other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IFERROR(__xludf.DUMMYFUNCTION("""COMPUTED_VALUE"""),"cement")</f>
        <v>cement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IFERROR(__xludf.DUMMYFUNCTION("""COMPUTED_VALUE"""),1.0)</f>
        <v>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IFERROR(__xludf.DUMMYFUNCTION("""COMPUTED_VALUE"""),"cement")</f>
        <v>cement</v>
      </c>
      <c r="C38" s="9" t="str">
        <f>IFERROR(__xludf.DUMMYFUNCTION("""COMPUTED_VALUE"""),"unfccc_annex_1")</f>
        <v>unfccc_annex_1</v>
      </c>
      <c r="D38" s="9" t="str">
        <f>IFERROR(__xludf.DUMMYFUNCTION("""COMPUTED_VALUE"""),"2.A.1  Cement Production")</f>
        <v>2.A.1  Cement Production</v>
      </c>
      <c r="E38" s="9">
        <f>IFERROR(__xludf.DUMMYFUNCTION("""COMPUTED_VALUE"""),1.0)</f>
        <v>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IFERROR(__xludf.DUMMYFUNCTION("""COMPUTED_VALUE"""),"chemicals")</f>
        <v>chemicals</v>
      </c>
      <c r="C39" s="9" t="str">
        <f>IFERROR(__xludf.DUMMYFUNCTION("""COMPUTED_VALUE"""),"unfccc_annex_1")</f>
        <v>unfccc_annex_1</v>
      </c>
      <c r="D39" s="9" t="str">
        <f>IFERROR(__xludf.DUMMYFUNCTION("""COMPUTED_VALUE"""),"2.B.1  Ammonia Production")</f>
        <v>2.B.1  Ammonia Production</v>
      </c>
      <c r="E39" s="9">
        <f>IFERROR(__xludf.DUMMYFUNCTION("""COMPUTED_VALUE"""),1.0)</f>
        <v>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IFERROR(__xludf.DUMMYFUNCTION("""COMPUTED_VALUE"""),"chemicals")</f>
        <v>chemicals</v>
      </c>
      <c r="C40" s="9" t="str">
        <f>IFERROR(__xludf.DUMMYFUNCTION("""COMPUTED_VALUE"""),"unfccc_annex_1")</f>
        <v>unfccc_annex_1</v>
      </c>
      <c r="D40" s="9" t="str">
        <f>IFERROR(__xludf.DUMMYFUNCTION("""COMPUTED_VALUE"""),"2.B.8.a  Methanol")</f>
        <v>2.B.8.a  Methanol</v>
      </c>
      <c r="E40" s="9">
        <f>IFERROR(__xludf.DUMMYFUNCTION("""COMPUTED_VALUE"""),1.0)</f>
        <v>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IFERROR(__xludf.DUMMYFUNCTION("""COMPUTED_VALUE"""),"chemicals")</f>
        <v>chemicals</v>
      </c>
      <c r="C41" s="9" t="str">
        <f>IFERROR(__xludf.DUMMYFUNCTION("""COMPUTED_VALUE"""),"unfccc_annex_1")</f>
        <v>unfccc_annex_1</v>
      </c>
      <c r="D41" s="9" t="str">
        <f>IFERROR(__xludf.DUMMYFUNCTION("""COMPUTED_VALUE"""),"2.B.7  Soda Ash Production")</f>
        <v>2.B.7  Soda Ash Production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IFERROR(__xludf.DUMMYFUNCTION("""COMPUTED_VALUE"""),"chemicals")</f>
        <v>chemicals</v>
      </c>
      <c r="C42" s="9" t="str">
        <f>IFERROR(__xludf.DUMMYFUNCTION("""COMPUTED_VALUE"""),"unfccc_annex_1")</f>
        <v>unfccc_annex_1</v>
      </c>
      <c r="D42" s="9" t="str">
        <f>IFERROR(__xludf.DUMMYFUNCTION("""COMPUTED_VALUE"""),"1.A.2.c  Chemicals")</f>
        <v>1.A.2.c  Chemicals</v>
      </c>
      <c r="E42" s="9">
        <f>IFERROR(__xludf.DUMMYFUNCTION("""COMPUTED_VALUE"""),1.0)</f>
        <v>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IFERROR(__xludf.DUMMYFUNCTION("""COMPUTED_VALUE"""),"steel")</f>
        <v>steel</v>
      </c>
      <c r="C43" s="9" t="str">
        <f>IFERROR(__xludf.DUMMYFUNCTION("""COMPUTED_VALUE"""),"unfccc_annex_1")</f>
        <v>unfccc_annex_1</v>
      </c>
      <c r="D43" s="9" t="str">
        <f>IFERROR(__xludf.DUMMYFUNCTION("""COMPUTED_VALUE"""),"1.A.2.a  Iron and Steel")</f>
        <v>1.A.2.a  Iron and Steel</v>
      </c>
      <c r="E43" s="9">
        <f>IFERROR(__xludf.DUMMYFUNCTION("""COMPUTED_VALUE"""),1.0)</f>
        <v>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IFERROR(__xludf.DUMMYFUNCTION("""COMPUTED_VALUE"""),"steel")</f>
        <v>steel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IFERROR(__xludf.DUMMYFUNCTION("""COMPUTED_VALUE"""),1.0)</f>
        <v>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IFERROR(__xludf.DUMMYFUNCTION("""COMPUTED_VALUE"""),"1.A.2.b  Non-Ferrous Metals")</f>
        <v>1.A.2.b  Non-Ferrous Metals</v>
      </c>
      <c r="E45" s="9">
        <f>IFERROR(__xludf.DUMMYFUNCTION("""COMPUTED_VALUE"""),1.0)</f>
        <v>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IFERROR(__xludf.DUMMYFUNCTION("""COMPUTED_VALUE"""),"2.C.3  Aluminium Production")</f>
        <v>2.C.3  Aluminium Production</v>
      </c>
      <c r="E46" s="9">
        <f>IFERROR(__xludf.DUMMYFUNCTION("""COMPUTED_VALUE"""),1.0)</f>
        <v>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IFERROR(__xludf.DUMMYFUNCTION("""COMPUTED_VALUE"""),"pulp-and-paper")</f>
        <v>pulp-and-paper</v>
      </c>
      <c r="C47" s="9" t="str">
        <f>IFERROR(__xludf.DUMMYFUNCTION("""COMPUTED_VALUE"""),"unfccc_annex_1")</f>
        <v>unfccc_annex_1</v>
      </c>
      <c r="D47" s="9" t="str">
        <f>IFERROR(__xludf.DUMMYFUNCTION("""COMPUTED_VALUE"""),"1.A.2.d  Pulp, Paper and Print")</f>
        <v>1.A.2.d  Pulp, Paper and Print</v>
      </c>
      <c r="E47" s="9">
        <f>IFERROR(__xludf.DUMMYFUNCTION("""COMPUTED_VALUE"""),1.0)</f>
        <v>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 t="str">
        <f>IFERROR(__xludf.DUMMYFUNCTION("""COMPUTED_VALUE"""),"unfccc_annex_1")</f>
        <v>unfccc_annex_1</v>
      </c>
      <c r="D48" s="9" t="str">
        <f>IFERROR(__xludf.DUMMYFUNCTION("""COMPUTED_VALUE"""),"2.H.1  Pulp and Paper")</f>
        <v>2.H.1  Pulp and Paper</v>
      </c>
      <c r="E48" s="9">
        <f>IFERROR(__xludf.DUMMYFUNCTION("""COMPUTED_VALUE"""),1.0)</f>
        <v>1</v>
      </c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IFERROR(__xludf.DUMMYFUNCTION("""COMPUTED_VALUE"""),"other-manufacturing")</f>
        <v>other-manufacturing</v>
      </c>
      <c r="C49" s="9" t="str">
        <f>IFERROR(__xludf.DUMMYFUNCTION("""COMPUTED_VALUE"""),"unfccc_annex_1")</f>
        <v>unfccc_annex_1</v>
      </c>
      <c r="D49" s="9" t="str">
        <f>IFERROR(__xludf.DUMMYFUNCTION("""COMPUTED_VALUE"""),"1.A.2  Manufacturing Industries and Construction")</f>
        <v>1.A.2  Manufacturing Industries and Construction</v>
      </c>
      <c r="E49" s="9">
        <f>IFERROR(__xludf.DUMMYFUNCTION("""COMPUTED_VALUE"""),1.0)</f>
        <v>1</v>
      </c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IFERROR(__xludf.DUMMYFUNCTION("""COMPUTED_VALUE"""),"other-manufacturing")</f>
        <v>other-manufacturing</v>
      </c>
      <c r="C50" s="9" t="str">
        <f>IFERROR(__xludf.DUMMYFUNCTION("""COMPUTED_VALUE"""),"unfccc_annex_1")</f>
        <v>unfccc_annex_1</v>
      </c>
      <c r="D50" s="9" t="str">
        <f>IFERROR(__xludf.DUMMYFUNCTION("""COMPUTED_VALUE"""),"1.A.2.f  Non-metallic Minerals")</f>
        <v>1.A.2.f  Non-metallic Minerals</v>
      </c>
      <c r="E50" s="9">
        <f>IFERROR(__xludf.DUMMYFUNCTION("""COMPUTED_VALUE"""),-1.0)</f>
        <v>-1</v>
      </c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IFERROR(__xludf.DUMMYFUNCTION("""COMPUTED_VALUE"""),"other-manufacturing")</f>
        <v>other-manufacturing</v>
      </c>
      <c r="C51" s="9" t="str">
        <f>IFERROR(__xludf.DUMMYFUNCTION("""COMPUTED_VALUE"""),"unfccc_annex_1")</f>
        <v>unfccc_annex_1</v>
      </c>
      <c r="D51" s="9" t="str">
        <f>IFERROR(__xludf.DUMMYFUNCTION("""COMPUTED_VALUE"""),"1.A.2.c  Chemicals")</f>
        <v>1.A.2.c  Chemicals</v>
      </c>
      <c r="E51" s="9">
        <f>IFERROR(__xludf.DUMMYFUNCTION("""COMPUTED_VALUE"""),-1.0)</f>
        <v>-1</v>
      </c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IFERROR(__xludf.DUMMYFUNCTION("""COMPUTED_VALUE"""),"other-manufacturing")</f>
        <v>other-manufacturing</v>
      </c>
      <c r="C52" s="9" t="str">
        <f>IFERROR(__xludf.DUMMYFUNCTION("""COMPUTED_VALUE"""),"unfccc_annex_1")</f>
        <v>unfccc_annex_1</v>
      </c>
      <c r="D52" s="9" t="str">
        <f>IFERROR(__xludf.DUMMYFUNCTION("""COMPUTED_VALUE"""),"1.A.2.a  Iron and Steel")</f>
        <v>1.A.2.a  Iron and Steel</v>
      </c>
      <c r="E52" s="9">
        <f>IFERROR(__xludf.DUMMYFUNCTION("""COMPUTED_VALUE"""),-1.0)</f>
        <v>-1</v>
      </c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IFERROR(__xludf.DUMMYFUNCTION("""COMPUTED_VALUE"""),"other-manufacturing")</f>
        <v>other-manufacturing</v>
      </c>
      <c r="C53" s="9" t="str">
        <f>IFERROR(__xludf.DUMMYFUNCTION("""COMPUTED_VALUE"""),"unfccc_annex_1")</f>
        <v>unfccc_annex_1</v>
      </c>
      <c r="D53" s="9" t="str">
        <f>IFERROR(__xludf.DUMMYFUNCTION("""COMPUTED_VALUE"""),"1.A.2.b  Non-Ferrous Metals")</f>
        <v>1.A.2.b  Non-Ferrous Metals</v>
      </c>
      <c r="E53" s="9">
        <f>IFERROR(__xludf.DUMMYFUNCTION("""COMPUTED_VALUE"""),-1.0)</f>
        <v>-1</v>
      </c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IFERROR(__xludf.DUMMYFUNCTION("""COMPUTED_VALUE"""),"other-manufacturing")</f>
        <v>other-manufacturing</v>
      </c>
      <c r="C54" s="9" t="str">
        <f>IFERROR(__xludf.DUMMYFUNCTION("""COMPUTED_VALUE"""),"unfccc_annex_1")</f>
        <v>unfccc_annex_1</v>
      </c>
      <c r="D54" s="9" t="str">
        <f>IFERROR(__xludf.DUMMYFUNCTION("""COMPUTED_VALUE"""),"1.A.2.d  Pulp, Paper and Print")</f>
        <v>1.A.2.d  Pulp, Paper and Print</v>
      </c>
      <c r="E54" s="9">
        <f>IFERROR(__xludf.DUMMYFUNCTION("""COMPUTED_VALUE"""),-1.0)</f>
        <v>-1</v>
      </c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IFERROR(__xludf.DUMMYFUNCTION("""COMPUTED_VALUE"""),"other-manufacturing")</f>
        <v>other-manufacturing</v>
      </c>
      <c r="C55" s="9" t="str">
        <f>IFERROR(__xludf.DUMMYFUNCTION("""COMPUTED_VALUE"""),"unfccc_annex_1")</f>
        <v>unfccc_annex_1</v>
      </c>
      <c r="D55" s="9" t="str">
        <f>IFERROR(__xludf.DUMMYFUNCTION("""COMPUTED_VALUE"""),"2.  Industrial Processes and Product Use")</f>
        <v>2.  Industrial Processes and Product Use</v>
      </c>
      <c r="E55" s="9">
        <f>IFERROR(__xludf.DUMMYFUNCTION("""COMPUTED_VALUE"""),1.0)</f>
        <v>1</v>
      </c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IFERROR(__xludf.DUMMYFUNCTION("""COMPUTED_VALUE"""),"other-manufacturing")</f>
        <v>other-manufacturing</v>
      </c>
      <c r="C56" s="9" t="str">
        <f>IFERROR(__xludf.DUMMYFUNCTION("""COMPUTED_VALUE"""),"unfccc_annex_1")</f>
        <v>unfccc_annex_1</v>
      </c>
      <c r="D56" s="9" t="str">
        <f>IFERROR(__xludf.DUMMYFUNCTION("""COMPUTED_VALUE"""),"2.A.1  Cement Production")</f>
        <v>2.A.1  Cement Production</v>
      </c>
      <c r="E56" s="9">
        <f>IFERROR(__xludf.DUMMYFUNCTION("""COMPUTED_VALUE"""),-1.0)</f>
        <v>-1</v>
      </c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IFERROR(__xludf.DUMMYFUNCTION("""COMPUTED_VALUE"""),"other-manufacturing")</f>
        <v>other-manufacturing</v>
      </c>
      <c r="C57" s="9" t="str">
        <f>IFERROR(__xludf.DUMMYFUNCTION("""COMPUTED_VALUE"""),"unfccc_annex_1")</f>
        <v>unfccc_annex_1</v>
      </c>
      <c r="D57" s="9" t="str">
        <f>IFERROR(__xludf.DUMMYFUNCTION("""COMPUTED_VALUE"""),"2.B.1  Ammonia Production")</f>
        <v>2.B.1  Ammonia Production</v>
      </c>
      <c r="E57" s="9">
        <f>IFERROR(__xludf.DUMMYFUNCTION("""COMPUTED_VALUE"""),-1.0)</f>
        <v>-1</v>
      </c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IFERROR(__xludf.DUMMYFUNCTION("""COMPUTED_VALUE"""),"other-manufacturing")</f>
        <v>other-manufacturing</v>
      </c>
      <c r="C58" s="9" t="str">
        <f>IFERROR(__xludf.DUMMYFUNCTION("""COMPUTED_VALUE"""),"unfccc_annex_1")</f>
        <v>unfccc_annex_1</v>
      </c>
      <c r="D58" s="9" t="str">
        <f>IFERROR(__xludf.DUMMYFUNCTION("""COMPUTED_VALUE"""),"2.B.8.a  Methanol")</f>
        <v>2.B.8.a  Methanol</v>
      </c>
      <c r="E58" s="9">
        <f>IFERROR(__xludf.DUMMYFUNCTION("""COMPUTED_VALUE"""),-1.0)</f>
        <v>-1</v>
      </c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IFERROR(__xludf.DUMMYFUNCTION("""COMPUTED_VALUE"""),"other-manufacturing")</f>
        <v>other-manufacturing</v>
      </c>
      <c r="C59" s="9" t="str">
        <f>IFERROR(__xludf.DUMMYFUNCTION("""COMPUTED_VALUE"""),"unfccc_annex_1")</f>
        <v>unfccc_annex_1</v>
      </c>
      <c r="D59" s="9" t="str">
        <f>IFERROR(__xludf.DUMMYFUNCTION("""COMPUTED_VALUE"""),"2.B.7  Soda Ash Production")</f>
        <v>2.B.7  Soda Ash Production</v>
      </c>
      <c r="E59" s="9">
        <f>IFERROR(__xludf.DUMMYFUNCTION("""COMPUTED_VALUE"""),-1.0)</f>
        <v>-1</v>
      </c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IFERROR(__xludf.DUMMYFUNCTION("""COMPUTED_VALUE"""),"other-manufacturing")</f>
        <v>other-manufacturing</v>
      </c>
      <c r="C60" s="9" t="str">
        <f>IFERROR(__xludf.DUMMYFUNCTION("""COMPUTED_VALUE"""),"unfccc_annex_1")</f>
        <v>unfccc_annex_1</v>
      </c>
      <c r="D60" s="9" t="str">
        <f>IFERROR(__xludf.DUMMYFUNCTION("""COMPUTED_VALUE"""),"2.C.1  Iron and Steel Production")</f>
        <v>2.C.1  Iron and Steel Production</v>
      </c>
      <c r="E60" s="9">
        <f>IFERROR(__xludf.DUMMYFUNCTION("""COMPUTED_VALUE"""),-1.0)</f>
        <v>-1</v>
      </c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IFERROR(__xludf.DUMMYFUNCTION("""COMPUTED_VALUE"""),"other-manufacturing")</f>
        <v>other-manufacturing</v>
      </c>
      <c r="C61" s="9" t="str">
        <f>IFERROR(__xludf.DUMMYFUNCTION("""COMPUTED_VALUE"""),"unfccc_annex_1")</f>
        <v>unfccc_annex_1</v>
      </c>
      <c r="D61" s="9" t="str">
        <f>IFERROR(__xludf.DUMMYFUNCTION("""COMPUTED_VALUE"""),"2.C.3  Aluminum Production")</f>
        <v>2.C.3  Aluminum Production</v>
      </c>
      <c r="E61" s="9">
        <f>IFERROR(__xludf.DUMMYFUNCTION("""COMPUTED_VALUE"""),-1.0)</f>
        <v>-1</v>
      </c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IFERROR(__xludf.DUMMYFUNCTION("""COMPUTED_VALUE"""),"other-manufacturing")</f>
        <v>other-manufacturing</v>
      </c>
      <c r="C62" s="9" t="str">
        <f>IFERROR(__xludf.DUMMYFUNCTION("""COMPUTED_VALUE"""),"unfccc_annex_1")</f>
        <v>unfccc_annex_1</v>
      </c>
      <c r="D62" s="9" t="str">
        <f>IFERROR(__xludf.DUMMYFUNCTION("""COMPUTED_VALUE"""),"2.H.1  Pulp and Paper")</f>
        <v>2.H.1  Pulp and Paper</v>
      </c>
      <c r="E62" s="9">
        <f>IFERROR(__xludf.DUMMYFUNCTION("""COMPUTED_VALUE"""),-1.0)</f>
        <v>-1</v>
      </c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IFERROR(__xludf.DUMMYFUNCTION("""COMPUTED_VALUE"""),"other-manufacturing")</f>
        <v>other-manufacturing</v>
      </c>
      <c r="C63" s="9" t="str">
        <f>IFERROR(__xludf.DUMMYFUNCTION("""COMPUTED_VALUE"""),"unfccc_annex_1")</f>
        <v>unfccc_annex_1</v>
      </c>
      <c r="D63" s="9" t="str">
        <f>IFERROR(__xludf.DUMMYFUNCTION("""COMPUTED_VALUE"""),"2.B.8.b  Ethylene")</f>
        <v>2.B.8.b  Ethylene</v>
      </c>
      <c r="E63" s="9">
        <f>IFERROR(__xludf.DUMMYFUNCTION("""COMPUTED_VALUE"""),-1.0)</f>
        <v>-1</v>
      </c>
      <c r="F63" s="9"/>
      <c r="G63" s="9"/>
      <c r="H63" s="9"/>
      <c r="I63" s="9"/>
      <c r="J63" s="9"/>
    </row>
    <row r="64">
      <c r="A64" s="9" t="b">
        <f>IFERROR(__xludf.DUMMYFUNCTION("""COMPUTED_VALUE"""),TRUE)</f>
        <v>1</v>
      </c>
      <c r="B64" s="9" t="str">
        <f>IFERROR(__xludf.DUMMYFUNCTION("""COMPUTED_VALUE"""),"mining-and-quarrying")</f>
        <v>mining-and-quarrying</v>
      </c>
      <c r="C64" s="9" t="str">
        <f>IFERROR(__xludf.DUMMYFUNCTION("""COMPUTED_VALUE"""),"unfccc_annex_1")</f>
        <v>unfccc_annex_1</v>
      </c>
      <c r="D64" s="9" t="str">
        <f>IFERROR(__xludf.DUMMYFUNCTION("""COMPUTED_VALUE"""),"1.A.2.g.iii  Mining (Excluding Fuels) and Quarrying")</f>
        <v>1.A.2.g.iii  Mining (Excluding Fuels) and Quarrying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IFERROR(__xludf.DUMMYFUNCTION("""COMPUTED_VALUE"""),TRUE)</f>
        <v>1</v>
      </c>
      <c r="B65" s="9" t="str">
        <f>IFERROR(__xludf.DUMMYFUNCTION("""COMPUTED_VALUE"""),"enteric-fermentation-cattle")</f>
        <v>enteric-fermentation-cattle</v>
      </c>
      <c r="C65" s="9" t="str">
        <f>IFERROR(__xludf.DUMMYFUNCTION("""COMPUTED_VALUE"""),"unfccc_annex_1")</f>
        <v>unfccc_annex_1</v>
      </c>
      <c r="D65" s="9" t="str">
        <f>IFERROR(__xludf.DUMMYFUNCTION("""COMPUTED_VALUE"""),"3.A.1  Cattle")</f>
        <v>3.A.1  Cattle</v>
      </c>
      <c r="E65" s="9">
        <f>IFERROR(__xludf.DUMMYFUNCTION("""COMPUTED_VALUE"""),1.0)</f>
        <v>1</v>
      </c>
      <c r="F65" s="9"/>
      <c r="G65" s="9"/>
      <c r="H65" s="9"/>
      <c r="I65" s="9"/>
      <c r="J65" s="9"/>
    </row>
    <row r="66">
      <c r="A66" s="9" t="b">
        <f>IFERROR(__xludf.DUMMYFUNCTION("""COMPUTED_VALUE"""),TRUE)</f>
        <v>1</v>
      </c>
      <c r="B66" s="9" t="str">
        <f>IFERROR(__xludf.DUMMYFUNCTION("""COMPUTED_VALUE"""),"enteric-fermentation-other")</f>
        <v>enteric-fermentation-other</v>
      </c>
      <c r="C66" s="9" t="str">
        <f>IFERROR(__xludf.DUMMYFUNCTION("""COMPUTED_VALUE"""),"unfccc_annex_1")</f>
        <v>unfccc_annex_1</v>
      </c>
      <c r="D66" s="9" t="str">
        <f>IFERROR(__xludf.DUMMYFUNCTION("""COMPUTED_VALUE"""),"3.A.2  Sheep")</f>
        <v>3.A.2  Sheep</v>
      </c>
      <c r="E66" s="9">
        <f>IFERROR(__xludf.DUMMYFUNCTION("""COMPUTED_VALUE"""),1.0)</f>
        <v>1</v>
      </c>
      <c r="F66" s="9"/>
      <c r="G66" s="9"/>
      <c r="H66" s="9"/>
      <c r="I66" s="9"/>
      <c r="J66" s="9"/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IFERROR(__xludf.DUMMYFUNCTION("""COMPUTED_VALUE"""),"unfccc_annex_1")</f>
        <v>unfccc_annex_1</v>
      </c>
      <c r="D67" s="9" t="str">
        <f>IFERROR(__xludf.DUMMYFUNCTION("""COMPUTED_VALUE"""),"3.A.3  Swine ")</f>
        <v>3.A.3  Swine </v>
      </c>
      <c r="E67" s="9">
        <f>IFERROR(__xludf.DUMMYFUNCTION("""COMPUTED_VALUE"""),1.0)</f>
        <v>1</v>
      </c>
      <c r="F67" s="9"/>
      <c r="G67" s="9"/>
      <c r="H67" s="9"/>
      <c r="I67" s="9"/>
      <c r="J67" s="9"/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IFERROR(__xludf.DUMMYFUNCTION("""COMPUTED_VALUE"""),"unfccc_annex_1")</f>
        <v>unfccc_annex_1</v>
      </c>
      <c r="D68" s="9" t="str">
        <f>IFERROR(__xludf.DUMMYFUNCTION("""COMPUTED_VALUE"""),"3.A.4  Other")</f>
        <v>3.A.4  Other</v>
      </c>
      <c r="E68" s="9">
        <f>IFERROR(__xludf.DUMMYFUNCTION("""COMPUTED_VALUE"""),1.0)</f>
        <v>1</v>
      </c>
      <c r="F68" s="9"/>
      <c r="G68" s="9"/>
      <c r="H68" s="9"/>
      <c r="I68" s="9"/>
      <c r="J68" s="9"/>
    </row>
    <row r="69">
      <c r="A69" s="9" t="b">
        <f>IFERROR(__xludf.DUMMYFUNCTION("""COMPUTED_VALUE"""),TRUE)</f>
        <v>1</v>
      </c>
      <c r="B69" s="9" t="str">
        <f>IFERROR(__xludf.DUMMYFUNCTION("""COMPUTED_VALUE"""),"manure-management-cattle")</f>
        <v>manure-management-cattle</v>
      </c>
      <c r="C69" s="9" t="str">
        <f>IFERROR(__xludf.DUMMYFUNCTION("""COMPUTED_VALUE"""),"unfccc_annex_1")</f>
        <v>unfccc_annex_1</v>
      </c>
      <c r="D69" s="9" t="str">
        <f>IFERROR(__xludf.DUMMYFUNCTION("""COMPUTED_VALUE"""),"3.B.1  Cattle")</f>
        <v>3.B.1  Cattle</v>
      </c>
      <c r="E69" s="9">
        <f>IFERROR(__xludf.DUMMYFUNCTION("""COMPUTED_VALUE"""),1.0)</f>
        <v>1</v>
      </c>
      <c r="F69" s="9"/>
      <c r="G69" s="9"/>
      <c r="H69" s="9"/>
      <c r="I69" s="9"/>
      <c r="J69" s="9"/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IFERROR(__xludf.DUMMYFUNCTION("""COMPUTED_VALUE"""),"unfccc_annex_1")</f>
        <v>unfccc_annex_1</v>
      </c>
      <c r="D70" s="9" t="str">
        <f>IFERROR(__xludf.DUMMYFUNCTION("""COMPUTED_VALUE"""),"3.B.2  Sheep")</f>
        <v>3.B.2  Sheep</v>
      </c>
      <c r="E70" s="9">
        <f>IFERROR(__xludf.DUMMYFUNCTION("""COMPUTED_VALUE"""),1.0)</f>
        <v>1</v>
      </c>
      <c r="F70" s="9"/>
      <c r="G70" s="9"/>
      <c r="H70" s="9"/>
      <c r="I70" s="9"/>
      <c r="J70" s="9"/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IFERROR(__xludf.DUMMYFUNCTION("""COMPUTED_VALUE"""),"unfccc_annex_1")</f>
        <v>unfccc_annex_1</v>
      </c>
      <c r="D71" s="9" t="str">
        <f>IFERROR(__xludf.DUMMYFUNCTION("""COMPUTED_VALUE"""),"3.B.3  Swine ")</f>
        <v>3.B.3  Swine </v>
      </c>
      <c r="E71" s="9">
        <f>IFERROR(__xludf.DUMMYFUNCTION("""COMPUTED_VALUE"""),1.0)</f>
        <v>1</v>
      </c>
      <c r="F71" s="9"/>
      <c r="G71" s="9"/>
      <c r="H71" s="9"/>
      <c r="I71" s="9"/>
      <c r="J71" s="9"/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IFERROR(__xludf.DUMMYFUNCTION("""COMPUTED_VALUE"""),"unfccc_annex_1")</f>
        <v>unfccc_annex_1</v>
      </c>
      <c r="D72" s="9" t="str">
        <f>IFERROR(__xludf.DUMMYFUNCTION("""COMPUTED_VALUE"""),"3.B.4  Other")</f>
        <v>3.B.4  Other</v>
      </c>
      <c r="E72" s="9">
        <f>IFERROR(__xludf.DUMMYFUNCTION("""COMPUTED_VALUE"""),1.0)</f>
        <v>1</v>
      </c>
      <c r="F72" s="9"/>
      <c r="G72" s="9"/>
      <c r="H72" s="9"/>
      <c r="I72" s="9"/>
      <c r="J72" s="9"/>
    </row>
    <row r="73">
      <c r="A73" s="9" t="b">
        <f>IFERROR(__xludf.DUMMYFUNCTION("""COMPUTED_VALUE"""),TRUE)</f>
        <v>1</v>
      </c>
      <c r="B73" s="9" t="str">
        <f>IFERROR(__xludf.DUMMYFUNCTION("""COMPUTED_VALUE"""),"rice-cultivation")</f>
        <v>rice-cultivation</v>
      </c>
      <c r="C73" s="9" t="str">
        <f>IFERROR(__xludf.DUMMYFUNCTION("""COMPUTED_VALUE"""),"unfccc_annex_1")</f>
        <v>unfccc_annex_1</v>
      </c>
      <c r="D73" s="9" t="str">
        <f>IFERROR(__xludf.DUMMYFUNCTION("""COMPUTED_VALUE"""),"3.C  Rice Cultivation")</f>
        <v>3.C  Rice Cultivation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IFERROR(__xludf.DUMMYFUNCTION("""COMPUTED_VALUE"""),"3.D.1.a  Inorganic N Fertilizers")</f>
        <v>3.D.1.a  Inorganic N Fertilizers</v>
      </c>
      <c r="E74" s="9">
        <f>IFERROR(__xludf.DUMMYFUNCTION("""COMPUTED_VALUE"""),1.0)</f>
        <v>1</v>
      </c>
      <c r="F74" s="9"/>
      <c r="G74" s="9"/>
      <c r="H74" s="9"/>
      <c r="I74" s="9"/>
      <c r="J74" s="9"/>
    </row>
    <row r="75">
      <c r="A75" s="9" t="b">
        <f>IFERROR(__xludf.DUMMYFUNCTION("""COMPUTED_VALUE"""),TRUE)</f>
        <v>1</v>
      </c>
      <c r="B75" s="9" t="str">
        <f>IFERROR(__xludf.DUMMYFUNCTION("""COMPUTED_VALUE"""),"cropland-fires")</f>
        <v>cropland-fires</v>
      </c>
      <c r="C75" s="9" t="str">
        <f>IFERROR(__xludf.DUMMYFUNCTION("""COMPUTED_VALUE"""),"unfccc_annex_1")</f>
        <v>unfccc_annex_1</v>
      </c>
      <c r="D75" s="9" t="str">
        <f>IFERROR(__xludf.DUMMYFUNCTION("""COMPUTED_VALUE"""),"3.F  Field Burning of Agricultural Residues")</f>
        <v>3.F  Field Burning of Agricultural Residues</v>
      </c>
      <c r="E75" s="9">
        <f>IFERROR(__xludf.DUMMYFUNCTION("""COMPUTED_VALUE"""),1.0)</f>
        <v>1</v>
      </c>
      <c r="F75" s="9"/>
      <c r="G75" s="9"/>
      <c r="H75" s="9"/>
      <c r="I75" s="9"/>
      <c r="J75" s="9"/>
    </row>
    <row r="76">
      <c r="A76" s="9" t="b">
        <f>IFERROR(__xludf.DUMMYFUNCTION("""COMPUTED_VALUE"""),TRUE)</f>
        <v>1</v>
      </c>
      <c r="B76" s="9" t="str">
        <f>IFERROR(__xludf.DUMMYFUNCTION("""COMPUTED_VALUE"""),"other-agricultural-soil-emissions")</f>
        <v>other-agricultural-soil-emissions</v>
      </c>
      <c r="C76" s="9" t="str">
        <f>IFERROR(__xludf.DUMMYFUNCTION("""COMPUTED_VALUE"""),"unfccc_annex_1")</f>
        <v>unfccc_annex_1</v>
      </c>
      <c r="D76" s="9" t="str">
        <f>IFERROR(__xludf.DUMMYFUNCTION("""COMPUTED_VALUE"""),"3.D  Agricultural Soils")</f>
        <v>3.D  Agricultural Soils</v>
      </c>
      <c r="E76" s="9">
        <f>IFERROR(__xludf.DUMMYFUNCTION("""COMPUTED_VALUE"""),1.0)</f>
        <v>1</v>
      </c>
      <c r="F76" s="9"/>
      <c r="G76" s="9"/>
      <c r="H76" s="9"/>
      <c r="I76" s="9"/>
      <c r="J76" s="9"/>
    </row>
    <row r="77">
      <c r="A77" s="9" t="b">
        <f>IFERROR(__xludf.DUMMYFUNCTION("""COMPUTED_VALUE"""),TRUE)</f>
        <v>1</v>
      </c>
      <c r="B77" s="9" t="str">
        <f>IFERROR(__xludf.DUMMYFUNCTION("""COMPUTED_VALUE"""),"other-agricultural-soil-emissions")</f>
        <v>other-agricultural-soil-emissions</v>
      </c>
      <c r="C77" s="9" t="str">
        <f>IFERROR(__xludf.DUMMYFUNCTION("""COMPUTED_VALUE"""),"unfccc_annex_1")</f>
        <v>unfccc_annex_1</v>
      </c>
      <c r="D77" s="9" t="str">
        <f>IFERROR(__xludf.DUMMYFUNCTION("""COMPUTED_VALUE"""),"3.D.1.a  Inorganic N Fertilizers")</f>
        <v>3.D.1.a  Inorganic N Fertilizers</v>
      </c>
      <c r="E77" s="9">
        <f>IFERROR(__xludf.DUMMYFUNCTION("""COMPUTED_VALUE"""),-1.0)</f>
        <v>-1</v>
      </c>
      <c r="F77" s="9"/>
      <c r="G77" s="9"/>
      <c r="H77" s="9"/>
      <c r="I77" s="9"/>
      <c r="J77" s="9"/>
    </row>
    <row r="78">
      <c r="A78" s="9" t="b">
        <f>IFERROR(__xludf.DUMMYFUNCTION("""COMPUTED_VALUE"""),TRUE)</f>
        <v>1</v>
      </c>
      <c r="B78" s="9" t="str">
        <f>IFERROR(__xludf.DUMMYFUNCTION("""COMPUTED_VALUE"""),"other-agriculture")</f>
        <v>other-agriculture</v>
      </c>
      <c r="C78" s="9" t="str">
        <f>IFERROR(__xludf.DUMMYFUNCTION("""COMPUTED_VALUE"""),"unfccc_annex_1")</f>
        <v>unfccc_annex_1</v>
      </c>
      <c r="D78" s="9" t="str">
        <f>IFERROR(__xludf.DUMMYFUNCTION("""COMPUTED_VALUE"""),"3.  Agriculture")</f>
        <v>3.  Agriculture</v>
      </c>
      <c r="E78" s="9">
        <f>IFERROR(__xludf.DUMMYFUNCTION("""COMPUTED_VALUE"""),1.0)</f>
        <v>1</v>
      </c>
      <c r="F78" s="9"/>
      <c r="G78" s="9"/>
      <c r="H78" s="9"/>
      <c r="I78" s="9"/>
      <c r="J78" s="9"/>
    </row>
    <row r="79">
      <c r="A79" s="9" t="b">
        <f>IFERROR(__xludf.DUMMYFUNCTION("""COMPUTED_VALUE"""),TRUE)</f>
        <v>1</v>
      </c>
      <c r="B79" s="9" t="str">
        <f>IFERROR(__xludf.DUMMYFUNCTION("""COMPUTED_VALUE"""),"other-agriculture")</f>
        <v>other-agriculture</v>
      </c>
      <c r="C79" s="9" t="str">
        <f>IFERROR(__xludf.DUMMYFUNCTION("""COMPUTED_VALUE"""),"unfccc_annex_1")</f>
        <v>unfccc_annex_1</v>
      </c>
      <c r="D79" s="9" t="str">
        <f>IFERROR(__xludf.DUMMYFUNCTION("""COMPUTED_VALUE"""),"3.A  Enteric Fermentation")</f>
        <v>3.A  Enteric Fermentation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IFERROR(__xludf.DUMMYFUNCTION("""COMPUTED_VALUE"""),TRUE)</f>
        <v>1</v>
      </c>
      <c r="B80" s="9" t="str">
        <f>IFERROR(__xludf.DUMMYFUNCTION("""COMPUTED_VALUE"""),"other-agriculture")</f>
        <v>other-agriculture</v>
      </c>
      <c r="C80" s="9" t="str">
        <f>IFERROR(__xludf.DUMMYFUNCTION("""COMPUTED_VALUE"""),"unfccc_annex_1")</f>
        <v>unfccc_annex_1</v>
      </c>
      <c r="D80" s="9" t="str">
        <f>IFERROR(__xludf.DUMMYFUNCTION("""COMPUTED_VALUE"""),"3.B  Manure Management")</f>
        <v>3.B  Manure Management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IFERROR(__xludf.DUMMYFUNCTION("""COMPUTED_VALUE"""),TRUE)</f>
        <v>1</v>
      </c>
      <c r="B81" s="9" t="str">
        <f>IFERROR(__xludf.DUMMYFUNCTION("""COMPUTED_VALUE"""),"other-agriculture")</f>
        <v>other-agriculture</v>
      </c>
      <c r="C81" s="9" t="str">
        <f>IFERROR(__xludf.DUMMYFUNCTION("""COMPUTED_VALUE"""),"unfccc_annex_1")</f>
        <v>unfccc_annex_1</v>
      </c>
      <c r="D81" s="9" t="str">
        <f>IFERROR(__xludf.DUMMYFUNCTION("""COMPUTED_VALUE"""),"3.C  Rice Cultivation")</f>
        <v>3.C  Rice Cultivation</v>
      </c>
      <c r="E81" s="9">
        <f>IFERROR(__xludf.DUMMYFUNCTION("""COMPUTED_VALUE"""),-1.0)</f>
        <v>-1</v>
      </c>
      <c r="F81" s="9"/>
      <c r="G81" s="9"/>
      <c r="H81" s="9"/>
      <c r="I81" s="9"/>
      <c r="J81" s="9"/>
    </row>
    <row r="82">
      <c r="A82" s="9" t="b">
        <f>IFERROR(__xludf.DUMMYFUNCTION("""COMPUTED_VALUE"""),TRUE)</f>
        <v>1</v>
      </c>
      <c r="B82" s="9" t="str">
        <f>IFERROR(__xludf.DUMMYFUNCTION("""COMPUTED_VALUE"""),"other-agriculture")</f>
        <v>other-agriculture</v>
      </c>
      <c r="C82" s="9" t="str">
        <f>IFERROR(__xludf.DUMMYFUNCTION("""COMPUTED_VALUE"""),"unfccc_annex_1")</f>
        <v>unfccc_annex_1</v>
      </c>
      <c r="D82" s="9" t="str">
        <f>IFERROR(__xludf.DUMMYFUNCTION("""COMPUTED_VALUE"""),"3.D  Agricultural Soils")</f>
        <v>3.D  Agricultural Soils</v>
      </c>
      <c r="E82" s="9">
        <f>IFERROR(__xludf.DUMMYFUNCTION("""COMPUTED_VALUE"""),-1.0)</f>
        <v>-1</v>
      </c>
      <c r="F82" s="9"/>
      <c r="G82" s="9"/>
      <c r="H82" s="9"/>
      <c r="I82" s="9"/>
      <c r="J82" s="9"/>
    </row>
    <row r="83">
      <c r="A83" s="9" t="b">
        <f>IFERROR(__xludf.DUMMYFUNCTION("""COMPUTED_VALUE"""),TRUE)</f>
        <v>1</v>
      </c>
      <c r="B83" s="9" t="str">
        <f>IFERROR(__xludf.DUMMYFUNCTION("""COMPUTED_VALUE"""),"other-agriculture")</f>
        <v>other-agriculture</v>
      </c>
      <c r="C83" s="9" t="str">
        <f>IFERROR(__xludf.DUMMYFUNCTION("""COMPUTED_VALUE"""),"unfccc_annex_1")</f>
        <v>unfccc_annex_1</v>
      </c>
      <c r="D83" s="9" t="str">
        <f>IFERROR(__xludf.DUMMYFUNCTION("""COMPUTED_VALUE"""),"3.F  Field Burning of Agricultural Residues")</f>
        <v>3.F  Field Burning of Agricultural Residues</v>
      </c>
      <c r="E83" s="9">
        <f>IFERROR(__xludf.DUMMYFUNCTION("""COMPUTED_VALUE"""),-1.0)</f>
        <v>-1</v>
      </c>
      <c r="F83" s="9"/>
      <c r="G83" s="9"/>
      <c r="H83" s="9"/>
      <c r="I83" s="9"/>
      <c r="J83" s="9"/>
    </row>
    <row r="84">
      <c r="A84" s="9" t="b">
        <f>IFERROR(__xludf.DUMMYFUNCTION("""COMPUTED_VALUE"""),TRUE)</f>
        <v>1</v>
      </c>
      <c r="B84" s="9" t="str">
        <f>IFERROR(__xludf.DUMMYFUNCTION("""COMPUTED_VALUE"""),"solid-waste-disposal")</f>
        <v>solid-waste-disposal</v>
      </c>
      <c r="C84" s="9" t="str">
        <f>IFERROR(__xludf.DUMMYFUNCTION("""COMPUTED_VALUE"""),"unfccc_annex_1")</f>
        <v>unfccc_annex_1</v>
      </c>
      <c r="D84" s="9" t="str">
        <f>IFERROR(__xludf.DUMMYFUNCTION("""COMPUTED_VALUE"""),"5.A  Solid Waste Disposal")</f>
        <v>5.A  Solid Waste Disposal</v>
      </c>
      <c r="E84" s="9">
        <f>IFERROR(__xludf.DUMMYFUNCTION("""COMPUTED_VALUE"""),1.0)</f>
        <v>1</v>
      </c>
      <c r="F84" s="9"/>
      <c r="G84" s="9"/>
      <c r="H84" s="9"/>
      <c r="I84" s="9"/>
      <c r="J84" s="9"/>
    </row>
    <row r="85">
      <c r="A85" s="9" t="b">
        <f>IFERROR(__xludf.DUMMYFUNCTION("""COMPUTED_VALUE"""),TRUE)</f>
        <v>1</v>
      </c>
      <c r="B85" s="9" t="str">
        <f>IFERROR(__xludf.DUMMYFUNCTION("""COMPUTED_VALUE"""),"biological-treatment-of-solid-waste-and-biogenic")</f>
        <v>biological-treatment-of-solid-waste-and-biogenic</v>
      </c>
      <c r="C85" s="9" t="str">
        <f>IFERROR(__xludf.DUMMYFUNCTION("""COMPUTED_VALUE"""),"unfccc_annex_1")</f>
        <v>unfccc_annex_1</v>
      </c>
      <c r="D85" s="9" t="str">
        <f>IFERROR(__xludf.DUMMYFUNCTION("""COMPUTED_VALUE"""),"5.B  Biological Treatment of Solid Waste")</f>
        <v>5.B  Biological Treatment of Solid Waste</v>
      </c>
      <c r="E85" s="9">
        <f>IFERROR(__xludf.DUMMYFUNCTION("""COMPUTED_VALUE"""),1.0)</f>
        <v>1</v>
      </c>
      <c r="F85" s="9"/>
      <c r="G85" s="9"/>
      <c r="H85" s="9"/>
      <c r="I85" s="9"/>
      <c r="J85" s="9"/>
    </row>
    <row r="86">
      <c r="A86" s="9" t="b">
        <f>IFERROR(__xludf.DUMMYFUNCTION("""COMPUTED_VALUE"""),TRUE)</f>
        <v>1</v>
      </c>
      <c r="B86" s="9" t="str">
        <f>IFERROR(__xludf.DUMMYFUNCTION("""COMPUTED_VALUE"""),"incineration-and-open-burning-of-waste")</f>
        <v>incineration-and-open-burning-of-waste</v>
      </c>
      <c r="C86" s="9" t="str">
        <f>IFERROR(__xludf.DUMMYFUNCTION("""COMPUTED_VALUE"""),"unfccc_annex_1")</f>
        <v>unfccc_annex_1</v>
      </c>
      <c r="D86" s="9" t="str">
        <f>IFERROR(__xludf.DUMMYFUNCTION("""COMPUTED_VALUE"""),"5.C  Incineration and Open Burning of Waste")</f>
        <v>5.C  Incineration and Open Burning of Waste</v>
      </c>
      <c r="E86" s="9">
        <f>IFERROR(__xludf.DUMMYFUNCTION("""COMPUTED_VALUE"""),1.0)</f>
        <v>1</v>
      </c>
      <c r="F86" s="9"/>
      <c r="G86" s="9"/>
      <c r="H86" s="9"/>
      <c r="I86" s="9"/>
      <c r="J86" s="9"/>
    </row>
    <row r="87">
      <c r="A87" s="9" t="b">
        <f>IFERROR(__xludf.DUMMYFUNCTION("""COMPUTED_VALUE"""),TRUE)</f>
        <v>1</v>
      </c>
      <c r="B87" s="9" t="str">
        <f>IFERROR(__xludf.DUMMYFUNCTION("""COMPUTED_VALUE"""),"wastewater-treatment-and-discharge")</f>
        <v>wastewater-treatment-and-discharge</v>
      </c>
      <c r="C87" s="9" t="str">
        <f>IFERROR(__xludf.DUMMYFUNCTION("""COMPUTED_VALUE"""),"unfccc_annex_1")</f>
        <v>unfccc_annex_1</v>
      </c>
      <c r="D87" s="9" t="str">
        <f>IFERROR(__xludf.DUMMYFUNCTION("""COMPUTED_VALUE"""),"5.D  Wastewater Treatment and Discharge")</f>
        <v>5.D  Wastewater Treatment and Discharge</v>
      </c>
      <c r="E87" s="9">
        <f>IFERROR(__xludf.DUMMYFUNCTION("""COMPUTED_VALUE"""),1.0)</f>
        <v>1</v>
      </c>
      <c r="F87" s="9"/>
      <c r="G87" s="9"/>
      <c r="H87" s="9"/>
      <c r="I87" s="9"/>
      <c r="J87" s="9"/>
    </row>
    <row r="88">
      <c r="A88" s="9" t="b">
        <f>IFERROR(__xludf.DUMMYFUNCTION("""COMPUTED_VALUE"""),TRUE)</f>
        <v>1</v>
      </c>
      <c r="B88" s="9" t="str">
        <f>IFERROR(__xludf.DUMMYFUNCTION("""COMPUTED_VALUE"""),"fluorinated-gases")</f>
        <v>fluorinated-gases</v>
      </c>
      <c r="C88" s="9" t="str">
        <f>IFERROR(__xludf.DUMMYFUNCTION("""COMPUTED_VALUE"""),"unfccc_annex_1")</f>
        <v>unfccc_annex_1</v>
      </c>
      <c r="D88" s="9" t="str">
        <f>IFERROR(__xludf.DUMMYFUNCTION("""COMPUTED_VALUE"""),"2.F  Product Uses as Substitutes for ODS")</f>
        <v>2.F  Product Uses as Substitutes for ODS</v>
      </c>
      <c r="E88" s="9">
        <f>IFERROR(__xludf.DUMMYFUNCTION("""COMPUTED_VALUE"""),1.0)</f>
        <v>1</v>
      </c>
      <c r="F88" s="9"/>
      <c r="G88" s="9"/>
      <c r="H88" s="9"/>
      <c r="I88" s="9"/>
      <c r="J88" s="9"/>
    </row>
    <row r="89">
      <c r="A89" s="9" t="b">
        <f>IFERROR(__xludf.DUMMYFUNCTION("""COMPUTED_VALUE"""),TRUE)</f>
        <v>1</v>
      </c>
      <c r="B89" s="9" t="str">
        <f>IFERROR(__xludf.DUMMYFUNCTION("""COMPUTED_VALUE"""),"fluorinated-gases")</f>
        <v>fluorinated-gases</v>
      </c>
      <c r="C89" s="9" t="str">
        <f>IFERROR(__xludf.DUMMYFUNCTION("""COMPUTED_VALUE"""),"unfccc_annex_1")</f>
        <v>unfccc_annex_1</v>
      </c>
      <c r="D89" s="9" t="str">
        <f>IFERROR(__xludf.DUMMYFUNCTION("""COMPUTED_VALUE"""),"2.B.9  Fluorochemical Production")</f>
        <v>2.B.9  Fluorochemical Production</v>
      </c>
      <c r="E89" s="9">
        <f>IFERROR(__xludf.DUMMYFUNCTION("""COMPUTED_VALUE"""),1.0)</f>
        <v>1</v>
      </c>
      <c r="F89" s="9"/>
      <c r="G89" s="9"/>
      <c r="H89" s="9"/>
      <c r="I89" s="9"/>
      <c r="J89" s="9"/>
    </row>
    <row r="90">
      <c r="A90" s="9" t="b">
        <f>IFERROR(__xludf.DUMMYFUNCTION("""COMPUTED_VALUE"""),TRUE)</f>
        <v>1</v>
      </c>
      <c r="B90" s="9" t="str">
        <f>IFERROR(__xludf.DUMMYFUNCTION("""COMPUTED_VALUE"""),"forest-land-fires")</f>
        <v>forest-land-fires</v>
      </c>
      <c r="C90" s="9" t="str">
        <f>IFERROR(__xludf.DUMMYFUNCTION("""COMPUTED_VALUE"""),"unfccc_annex_1")</f>
        <v>unfccc_annex_1</v>
      </c>
      <c r="D90" s="9"/>
      <c r="E90" s="9">
        <f>IFERROR(__xludf.DUMMYFUNCTION("""COMPUTED_VALUE"""),1.0)</f>
        <v>1</v>
      </c>
      <c r="F90" s="9"/>
      <c r="G90" s="9"/>
      <c r="H90" s="9"/>
      <c r="I90" s="9"/>
      <c r="J90" s="9"/>
    </row>
    <row r="91">
      <c r="A91" s="9" t="b">
        <f>IFERROR(__xludf.DUMMYFUNCTION("""COMPUTED_VALUE"""),TRUE)</f>
        <v>1</v>
      </c>
      <c r="B91" s="9" t="str">
        <f>IFERROR(__xludf.DUMMYFUNCTION("""COMPUTED_VALUE"""),"forest-land-clearing")</f>
        <v>forest-land-clearing</v>
      </c>
      <c r="C91" s="9" t="str">
        <f>IFERROR(__xludf.DUMMYFUNCTION("""COMPUTED_VALUE"""),"unfccc_annex_1")</f>
        <v>unfccc_annex_1</v>
      </c>
      <c r="D91" s="9"/>
      <c r="E91" s="9">
        <f>IFERROR(__xludf.DUMMYFUNCTION("""COMPUTED_VALUE"""),1.0)</f>
        <v>1</v>
      </c>
      <c r="F91" s="9"/>
      <c r="G91" s="9"/>
      <c r="H91" s="9"/>
      <c r="I91" s="9"/>
      <c r="J91" s="9"/>
    </row>
    <row r="92">
      <c r="A92" s="9" t="b">
        <f>IFERROR(__xludf.DUMMYFUNCTION("""COMPUTED_VALUE"""),TRUE)</f>
        <v>1</v>
      </c>
      <c r="B92" s="9" t="str">
        <f>IFERROR(__xludf.DUMMYFUNCTION("""COMPUTED_VALUE"""),"forest-land-degradation")</f>
        <v>forest-land-degradation</v>
      </c>
      <c r="C92" s="9" t="str">
        <f>IFERROR(__xludf.DUMMYFUNCTION("""COMPUTED_VALUE"""),"unfccc_annex_1")</f>
        <v>unfccc_annex_1</v>
      </c>
      <c r="D92" s="9"/>
      <c r="E92" s="9">
        <f>IFERROR(__xludf.DUMMYFUNCTION("""COMPUTED_VALUE"""),1.0)</f>
        <v>1</v>
      </c>
      <c r="F92" s="9"/>
      <c r="G92" s="9"/>
      <c r="H92" s="9"/>
      <c r="I92" s="9"/>
      <c r="J92" s="9"/>
    </row>
    <row r="93">
      <c r="A93" s="9" t="b">
        <f>IFERROR(__xludf.DUMMYFUNCTION("""COMPUTED_VALUE"""),TRUE)</f>
        <v>1</v>
      </c>
      <c r="B93" s="9" t="str">
        <f>IFERROR(__xludf.DUMMYFUNCTION("""COMPUTED_VALUE"""),"net-forest-land")</f>
        <v>net-forest-land</v>
      </c>
      <c r="C93" s="9" t="str">
        <f>IFERROR(__xludf.DUMMYFUNCTION("""COMPUTED_VALUE"""),"unfccc_annex_1")</f>
        <v>unfccc_annex_1</v>
      </c>
      <c r="D93" s="9" t="str">
        <f>IFERROR(__xludf.DUMMYFUNCTION("""COMPUTED_VALUE"""),"4.A  Forest Land")</f>
        <v>4.A  Forest Land</v>
      </c>
      <c r="E93" s="9">
        <f>IFERROR(__xludf.DUMMYFUNCTION("""COMPUTED_VALUE"""),1.0)</f>
        <v>1</v>
      </c>
      <c r="F93" s="9"/>
      <c r="G93" s="9"/>
      <c r="H93" s="9"/>
      <c r="I93" s="9"/>
      <c r="J93" s="9"/>
    </row>
    <row r="94">
      <c r="A94" s="9" t="b">
        <f>IFERROR(__xludf.DUMMYFUNCTION("""COMPUTED_VALUE"""),TRUE)</f>
        <v>1</v>
      </c>
      <c r="B94" s="9" t="str">
        <f>IFERROR(__xludf.DUMMYFUNCTION("""COMPUTED_VALUE"""),"net-shrubgrass")</f>
        <v>net-shrubgrass</v>
      </c>
      <c r="C94" s="9" t="str">
        <f>IFERROR(__xludf.DUMMYFUNCTION("""COMPUTED_VALUE"""),"unfccc_annex_1")</f>
        <v>unfccc_annex_1</v>
      </c>
      <c r="D94" s="9" t="str">
        <f>IFERROR(__xludf.DUMMYFUNCTION("""COMPUTED_VALUE"""),"4.C  Grassland")</f>
        <v>4.C  Grassland</v>
      </c>
      <c r="E94" s="9">
        <f>IFERROR(__xludf.DUMMYFUNCTION("""COMPUTED_VALUE"""),1.0)</f>
        <v>1</v>
      </c>
      <c r="F94" s="9"/>
      <c r="G94" s="9"/>
      <c r="H94" s="9"/>
      <c r="I94" s="9"/>
      <c r="J94" s="9"/>
    </row>
    <row r="95">
      <c r="A95" s="9" t="b">
        <f>IFERROR(__xludf.DUMMYFUNCTION("""COMPUTED_VALUE"""),TRUE)</f>
        <v>1</v>
      </c>
      <c r="B95" s="9" t="str">
        <f>IFERROR(__xludf.DUMMYFUNCTION("""COMPUTED_VALUE"""),"net-wetland")</f>
        <v>net-wetland</v>
      </c>
      <c r="C95" s="9" t="str">
        <f>IFERROR(__xludf.DUMMYFUNCTION("""COMPUTED_VALUE"""),"unfccc_annex_1")</f>
        <v>unfccc_annex_1</v>
      </c>
      <c r="D95" s="9" t="str">
        <f>IFERROR(__xludf.DUMMYFUNCTION("""COMPUTED_VALUE"""),"4.D.1.a  Peat Extraction Remaining Peat Extraction ")</f>
        <v>4.D.1.a  Peat Extraction Remaining Peat Extraction </v>
      </c>
      <c r="E95" s="9">
        <f>IFERROR(__xludf.DUMMYFUNCTION("""COMPUTED_VALUE"""),1.0)</f>
        <v>1</v>
      </c>
      <c r="F95" s="9"/>
      <c r="G95" s="9"/>
      <c r="H95" s="9"/>
      <c r="I95" s="9"/>
      <c r="J95" s="9"/>
    </row>
    <row r="96">
      <c r="A96" s="9" t="b">
        <f>IFERROR(__xludf.DUMMYFUNCTION("""COMPUTED_VALUE"""),TRUE)</f>
        <v>1</v>
      </c>
      <c r="B96" s="9" t="str">
        <f>IFERROR(__xludf.DUMMYFUNCTION("""COMPUTED_VALUE"""),"net-wetland")</f>
        <v>net-wetland</v>
      </c>
      <c r="C96" s="9" t="str">
        <f>IFERROR(__xludf.DUMMYFUNCTION("""COMPUTED_VALUE"""),"unfccc_annex_1")</f>
        <v>unfccc_annex_1</v>
      </c>
      <c r="D96" s="9" t="str">
        <f>IFERROR(__xludf.DUMMYFUNCTION("""COMPUTED_VALUE"""),"4.D.1.c  Other Wetlands Remaining Other Wetlands")</f>
        <v>4.D.1.c  Other Wetlands Remaining Other Wetlands</v>
      </c>
      <c r="E96" s="9">
        <f>IFERROR(__xludf.DUMMYFUNCTION("""COMPUTED_VALUE"""),1.0)</f>
        <v>1</v>
      </c>
      <c r="F96" s="9"/>
      <c r="G96" s="9"/>
      <c r="H96" s="9"/>
      <c r="I96" s="9"/>
      <c r="J96" s="9"/>
    </row>
    <row r="97">
      <c r="A97" s="9" t="b">
        <f>IFERROR(__xludf.DUMMYFUNCTION("""COMPUTED_VALUE"""),TRUE)</f>
        <v>1</v>
      </c>
      <c r="B97" s="9" t="str">
        <f>IFERROR(__xludf.DUMMYFUNCTION("""COMPUTED_VALUE"""),"net-wetland")</f>
        <v>net-wetland</v>
      </c>
      <c r="C97" s="9" t="str">
        <f>IFERROR(__xludf.DUMMYFUNCTION("""COMPUTED_VALUE"""),"unfccc_annex_1")</f>
        <v>unfccc_annex_1</v>
      </c>
      <c r="D97" s="9" t="str">
        <f>IFERROR(__xludf.DUMMYFUNCTION("""COMPUTED_VALUE"""),"4.D.2  Land Converted to Wetlands")</f>
        <v>4.D.2  Land Converted to Wetlands</v>
      </c>
      <c r="E97" s="9">
        <f>IFERROR(__xludf.DUMMYFUNCTION("""COMPUTED_VALUE"""),1.0)</f>
        <v>1</v>
      </c>
      <c r="F97" s="9"/>
      <c r="G97" s="9"/>
      <c r="H97" s="9"/>
      <c r="I97" s="9"/>
      <c r="J97" s="9"/>
    </row>
    <row r="98">
      <c r="A98" s="9" t="b">
        <f>IFERROR(__xludf.DUMMYFUNCTION("""COMPUTED_VALUE"""),TRUE)</f>
        <v>1</v>
      </c>
      <c r="B98" s="9" t="str">
        <f>IFERROR(__xludf.DUMMYFUNCTION("""COMPUTED_VALUE"""),"shrubgrass-fires")</f>
        <v>shrubgrass-fires</v>
      </c>
      <c r="C98" s="9" t="str">
        <f>IFERROR(__xludf.DUMMYFUNCTION("""COMPUTED_VALUE"""),"unfccc_annex_1")</f>
        <v>unfccc_annex_1</v>
      </c>
      <c r="D98" s="9"/>
      <c r="E98" s="9">
        <f>IFERROR(__xludf.DUMMYFUNCTION("""COMPUTED_VALUE"""),1.0)</f>
        <v>1</v>
      </c>
      <c r="F98" s="9"/>
      <c r="G98" s="9"/>
      <c r="H98" s="9"/>
      <c r="I98" s="9"/>
      <c r="J98" s="9"/>
    </row>
    <row r="99">
      <c r="A99" s="9" t="b">
        <f>IFERROR(__xludf.DUMMYFUNCTION("""COMPUTED_VALUE"""),TRUE)</f>
        <v>1</v>
      </c>
      <c r="B99" s="9" t="str">
        <f>IFERROR(__xludf.DUMMYFUNCTION("""COMPUTED_VALUE"""),"wetland-fires")</f>
        <v>wetland-fires</v>
      </c>
      <c r="C99" s="9" t="str">
        <f>IFERROR(__xludf.DUMMYFUNCTION("""COMPUTED_VALUE"""),"unfccc_annex_1")</f>
        <v>unfccc_annex_1</v>
      </c>
      <c r="D99" s="9"/>
      <c r="E99" s="9">
        <f>IFERROR(__xludf.DUMMYFUNCTION("""COMPUTED_VALUE"""),1.0)</f>
        <v>1</v>
      </c>
      <c r="F99" s="9"/>
      <c r="G99" s="9"/>
      <c r="H99" s="9"/>
      <c r="I99" s="9"/>
      <c r="J99" s="9"/>
    </row>
    <row r="100">
      <c r="A100" s="9" t="b">
        <f>IFERROR(__xludf.DUMMYFUNCTION("""COMPUTED_VALUE"""),TRUE)</f>
        <v>1</v>
      </c>
      <c r="B100" s="9" t="str">
        <f>IFERROR(__xludf.DUMMYFUNCTION("""COMPUTED_VALUE"""),"removals")</f>
        <v>removals</v>
      </c>
      <c r="C100" s="9" t="str">
        <f>IFERROR(__xludf.DUMMYFUNCTION("""COMPUTED_VALUE"""),"unfccc_annex_1")</f>
        <v>unfccc_annex_1</v>
      </c>
      <c r="D100" s="9"/>
      <c r="E100" s="9">
        <f>IFERROR(__xludf.DUMMYFUNCTION("""COMPUTED_VALUE"""),1.0)</f>
        <v>1</v>
      </c>
      <c r="F100" s="9"/>
      <c r="G100" s="9"/>
      <c r="H100" s="9"/>
      <c r="I100" s="9"/>
      <c r="J100" s="9"/>
    </row>
    <row r="101">
      <c r="A101" s="9" t="b">
        <f>IFERROR(__xludf.DUMMYFUNCTION("""COMPUTED_VALUE"""),TRUE)</f>
        <v>1</v>
      </c>
      <c r="B101" s="9" t="str">
        <f>IFERROR(__xludf.DUMMYFUNCTION("""COMPUTED_VALUE"""),"water-reservoirs")</f>
        <v>water-reservoirs</v>
      </c>
      <c r="C101" s="9" t="str">
        <f>IFERROR(__xludf.DUMMYFUNCTION("""COMPUTED_VALUE"""),"unfccc_annex_1")</f>
        <v>unfccc_annex_1</v>
      </c>
      <c r="D101" s="9" t="str">
        <f>IFERROR(__xludf.DUMMYFUNCTION("""COMPUTED_VALUE"""),"4.D.1.b  Flooded Land Remaining Flooded Land")</f>
        <v>4.D.1.b  Flooded Land Remaining Flooded Land</v>
      </c>
      <c r="E101" s="9">
        <f>IFERROR(__xludf.DUMMYFUNCTION("""COMPUTED_VALUE"""),1.0)</f>
        <v>1</v>
      </c>
      <c r="F101" s="9"/>
      <c r="G101" s="9"/>
      <c r="H101" s="9"/>
      <c r="I101" s="9"/>
      <c r="J101" s="9"/>
    </row>
    <row r="102">
      <c r="A102" s="9" t="b">
        <f>IFERROR(__xludf.DUMMYFUNCTION("""COMPUTED_VALUE"""),FALSE)</f>
        <v>0</v>
      </c>
      <c r="B102" s="9" t="str">
        <f>IFERROR(__xludf.DUMMYFUNCTION("""COMPUTED_VALUE"""),"electricity-generation")</f>
        <v>electricity-generation</v>
      </c>
      <c r="C102" s="9" t="str">
        <f>IFERROR(__xludf.DUMMYFUNCTION("""COMPUTED_VALUE"""),"unfccc_non_annex_1")</f>
        <v>unfccc_non_annex_1</v>
      </c>
      <c r="D102" s="9" t="str">
        <f>IFERROR(__xludf.DUMMYFUNCTION("""COMPUTED_VALUE"""),"1.A.1  Energy Industries")</f>
        <v>1.A.1  Energy Industries</v>
      </c>
      <c r="E102" s="9">
        <f>IFERROR(__xludf.DUMMYFUNCTION("""COMPUTED_VALUE"""),1.0)</f>
        <v>1</v>
      </c>
      <c r="F102" s="9"/>
      <c r="G102" s="9"/>
      <c r="H102" s="9"/>
      <c r="I102" s="9"/>
      <c r="J102" s="9"/>
    </row>
    <row r="103">
      <c r="A103" s="9" t="b">
        <f>IFERROR(__xludf.DUMMYFUNCTION("""COMPUTED_VALUE"""),FALSE)</f>
        <v>0</v>
      </c>
      <c r="B103" s="9" t="str">
        <f>IFERROR(__xludf.DUMMYFUNCTION("""COMPUTED_VALUE"""),"domestic-aviation")</f>
        <v>domestic-aviation</v>
      </c>
      <c r="C103" s="9" t="str">
        <f>IFERROR(__xludf.DUMMYFUNCTION("""COMPUTED_VALUE"""),"unfccc_non_annex_1")</f>
        <v>unfccc_non_annex_1</v>
      </c>
      <c r="D103" s="9" t="str">
        <f>IFERROR(__xludf.DUMMYFUNCTION("""COMPUTED_VALUE"""),"Aviation")</f>
        <v>Aviation</v>
      </c>
      <c r="E103" s="9">
        <f>IFERROR(__xludf.DUMMYFUNCTION("""COMPUTED_VALUE"""),1.0)</f>
        <v>1</v>
      </c>
      <c r="F103" s="9"/>
      <c r="G103" s="9"/>
      <c r="H103" s="9"/>
      <c r="I103" s="9"/>
      <c r="J103" s="9"/>
    </row>
    <row r="104">
      <c r="A104" s="9" t="b">
        <f>IFERROR(__xludf.DUMMYFUNCTION("""COMPUTED_VALUE"""),FALSE)</f>
        <v>0</v>
      </c>
      <c r="B104" s="9" t="str">
        <f>IFERROR(__xludf.DUMMYFUNCTION("""COMPUTED_VALUE"""),"road-transportation")</f>
        <v>road-transportation</v>
      </c>
      <c r="C104" s="9" t="str">
        <f>IFERROR(__xludf.DUMMYFUNCTION("""COMPUTED_VALUE"""),"unfccc_non_annex_1")</f>
        <v>unfccc_non_annex_1</v>
      </c>
      <c r="D104" s="9" t="str">
        <f>IFERROR(__xludf.DUMMYFUNCTION("""COMPUTED_VALUE"""),"1.A.3.b  Road Transportation")</f>
        <v>1.A.3.b  Road Transportation</v>
      </c>
      <c r="E104" s="9">
        <f>IFERROR(__xludf.DUMMYFUNCTION("""COMPUTED_VALUE"""),1.0)</f>
        <v>1</v>
      </c>
      <c r="F104" s="9"/>
      <c r="G104" s="9"/>
      <c r="H104" s="9"/>
      <c r="I104" s="9"/>
      <c r="J104" s="9"/>
    </row>
    <row r="105">
      <c r="A105" s="9" t="b">
        <f>IFERROR(__xludf.DUMMYFUNCTION("""COMPUTED_VALUE"""),FALSE)</f>
        <v>0</v>
      </c>
      <c r="B105" s="9" t="str">
        <f>IFERROR(__xludf.DUMMYFUNCTION("""COMPUTED_VALUE"""),"international-shipping")</f>
        <v>international-shipping</v>
      </c>
      <c r="C105" s="9"/>
      <c r="D105" s="9"/>
      <c r="E105" s="9">
        <f>IFERROR(__xludf.DUMMYFUNCTION("""COMPUTED_VALUE"""),1.0)</f>
        <v>1</v>
      </c>
      <c r="F105" s="9"/>
      <c r="G105" s="9"/>
      <c r="H105" s="9"/>
      <c r="I105" s="9"/>
      <c r="J105" s="9"/>
    </row>
    <row r="106">
      <c r="A106" s="9" t="b">
        <f>IFERROR(__xludf.DUMMYFUNCTION("""COMPUTED_VALUE"""),FALSE)</f>
        <v>0</v>
      </c>
      <c r="B106" s="9" t="str">
        <f>IFERROR(__xludf.DUMMYFUNCTION("""COMPUTED_VALUE"""),"domestic-shipping")</f>
        <v>domestic-shipping</v>
      </c>
      <c r="C106" s="9"/>
      <c r="D106" s="9"/>
      <c r="E106" s="9">
        <f>IFERROR(__xludf.DUMMYFUNCTION("""COMPUTED_VALUE"""),1.0)</f>
        <v>1</v>
      </c>
      <c r="F106" s="9"/>
      <c r="G106" s="9"/>
      <c r="H106" s="9"/>
      <c r="I106" s="9"/>
      <c r="J106" s="9"/>
    </row>
    <row r="107">
      <c r="A107" s="9" t="b">
        <f>IFERROR(__xludf.DUMMYFUNCTION("""COMPUTED_VALUE"""),FALSE)</f>
        <v>0</v>
      </c>
      <c r="B107" s="9" t="str">
        <f>IFERROR(__xludf.DUMMYFUNCTION("""COMPUTED_VALUE"""),"other-transport")</f>
        <v>other-transport</v>
      </c>
      <c r="C107" s="9"/>
      <c r="D107" s="9"/>
      <c r="E107" s="9">
        <f>IFERROR(__xludf.DUMMYFUNCTION("""COMPUTED_VALUE"""),1.0)</f>
        <v>1</v>
      </c>
      <c r="F107" s="9"/>
      <c r="G107" s="9"/>
      <c r="H107" s="9"/>
      <c r="I107" s="9"/>
      <c r="J107" s="9"/>
    </row>
    <row r="108">
      <c r="A108" s="9" t="b">
        <f>IFERROR(__xludf.DUMMYFUNCTION("""COMPUTED_VALUE"""),FALSE)</f>
        <v>0</v>
      </c>
      <c r="B108" s="9" t="str">
        <f>IFERROR(__xludf.DUMMYFUNCTION("""COMPUTED_VALUE"""),"residential-and-commercial-onsite-fuel-usage")</f>
        <v>residential-and-commercial-onsite-fuel-usage</v>
      </c>
      <c r="C108" s="9" t="str">
        <f>IFERROR(__xludf.DUMMYFUNCTION("""COMPUTED_VALUE"""),"unfccc_non_annex_1")</f>
        <v>unfccc_non_annex_1</v>
      </c>
      <c r="D108" s="9" t="str">
        <f>IFERROR(__xludf.DUMMYFUNCTION("""COMPUTED_VALUE"""),"1.A.4  Other Sectors")</f>
        <v>1.A.4  Other Sectors</v>
      </c>
      <c r="E108" s="9">
        <f>IFERROR(__xludf.DUMMYFUNCTION("""COMPUTED_VALUE"""),1.0)</f>
        <v>1</v>
      </c>
      <c r="F108" s="9"/>
      <c r="G108" s="9"/>
      <c r="H108" s="9"/>
      <c r="I108" s="9"/>
      <c r="J108" s="9"/>
    </row>
    <row r="109">
      <c r="A109" s="9" t="b">
        <f>IFERROR(__xludf.DUMMYFUNCTION("""COMPUTED_VALUE"""),FALSE)</f>
        <v>0</v>
      </c>
      <c r="B109" s="9" t="str">
        <f>IFERROR(__xludf.DUMMYFUNCTION("""COMPUTED_VALUE"""),"other-onsite-fuel-usage")</f>
        <v>other-onsite-fuel-usage</v>
      </c>
      <c r="C109" s="9"/>
      <c r="D109" s="9"/>
      <c r="E109" s="9">
        <f>IFERROR(__xludf.DUMMYFUNCTION("""COMPUTED_VALUE"""),1.0)</f>
        <v>1</v>
      </c>
      <c r="F109" s="9"/>
      <c r="G109" s="9"/>
      <c r="H109" s="9"/>
      <c r="I109" s="9"/>
      <c r="J109" s="9"/>
    </row>
    <row r="110">
      <c r="A110" s="9" t="b">
        <f>IFERROR(__xludf.DUMMYFUNCTION("""COMPUTED_VALUE"""),FALSE)</f>
        <v>0</v>
      </c>
      <c r="B110" s="9" t="str">
        <f>IFERROR(__xludf.DUMMYFUNCTION("""COMPUTED_VALUE"""),"coal-mining")</f>
        <v>coal-mining</v>
      </c>
      <c r="C110" s="9" t="str">
        <f>IFERROR(__xludf.DUMMYFUNCTION("""COMPUTED_VALUE"""),"unfccc_non_annex_1")</f>
        <v>unfccc_non_annex_1</v>
      </c>
      <c r="D110" s="9" t="str">
        <f>IFERROR(__xludf.DUMMYFUNCTION("""COMPUTED_VALUE"""),"1.B.1  Solid Fuels")</f>
        <v>1.B.1  Solid Fuels</v>
      </c>
      <c r="E110" s="9">
        <f>IFERROR(__xludf.DUMMYFUNCTION("""COMPUTED_VALUE"""),1.0)</f>
        <v>1</v>
      </c>
      <c r="F110" s="9"/>
      <c r="G110" s="9"/>
      <c r="H110" s="9"/>
      <c r="I110" s="9"/>
      <c r="J110" s="9"/>
    </row>
    <row r="111">
      <c r="A111" s="9" t="b">
        <f>IFERROR(__xludf.DUMMYFUNCTION("""COMPUTED_VALUE"""),FALSE)</f>
        <v>0</v>
      </c>
      <c r="B111" s="9" t="str">
        <f>IFERROR(__xludf.DUMMYFUNCTION("""COMPUTED_VALUE"""),"solid-fuel-transformation")</f>
        <v>solid-fuel-transformation</v>
      </c>
      <c r="C111" s="9"/>
      <c r="D111" s="9"/>
      <c r="E111" s="9">
        <f>IFERROR(__xludf.DUMMYFUNCTION("""COMPUTED_VALUE"""),1.0)</f>
        <v>1</v>
      </c>
      <c r="F111" s="9"/>
      <c r="G111" s="9"/>
      <c r="H111" s="9"/>
      <c r="I111" s="9"/>
      <c r="J111" s="9"/>
    </row>
    <row r="112">
      <c r="A112" s="9" t="b">
        <f>IFERROR(__xludf.DUMMYFUNCTION("""COMPUTED_VALUE"""),FALSE)</f>
        <v>0</v>
      </c>
      <c r="B112" s="9" t="str">
        <f>IFERROR(__xludf.DUMMYFUNCTION("""COMPUTED_VALUE"""),"oil-and-gas-production-and-transport")</f>
        <v>oil-and-gas-production-and-transport</v>
      </c>
      <c r="C112" s="9" t="str">
        <f>IFERROR(__xludf.DUMMYFUNCTION("""COMPUTED_VALUE"""),"unfccc_non_annex_1")</f>
        <v>unfccc_non_annex_1</v>
      </c>
      <c r="D112" s="9" t="str">
        <f>IFERROR(__xludf.DUMMYFUNCTION("""COMPUTED_VALUE"""),"1.B.2  Oil and Natural Gas")</f>
        <v>1.B.2  Oil and Natural Gas</v>
      </c>
      <c r="E112" s="9">
        <f>IFERROR(__xludf.DUMMYFUNCTION("""COMPUTED_VALUE"""),1.0)</f>
        <v>1</v>
      </c>
      <c r="F112" s="9"/>
      <c r="G112" s="9"/>
      <c r="H112" s="9"/>
      <c r="I112" s="9"/>
      <c r="J112" s="9"/>
    </row>
    <row r="113">
      <c r="A113" s="9" t="b">
        <f>IFERROR(__xludf.DUMMYFUNCTION("""COMPUTED_VALUE"""),FALSE)</f>
        <v>0</v>
      </c>
      <c r="B113" s="9" t="str">
        <f>IFERROR(__xludf.DUMMYFUNCTION("""COMPUTED_VALUE"""),"oil-and-gas-refining")</f>
        <v>oil-and-gas-refining</v>
      </c>
      <c r="C113" s="9" t="str">
        <f>IFERROR(__xludf.DUMMYFUNCTION("""COMPUTED_VALUE"""),"unfccc_non_annex_1")</f>
        <v>unfccc_non_annex_1</v>
      </c>
      <c r="D113" s="9" t="str">
        <f>IFERROR(__xludf.DUMMYFUNCTION("""COMPUTED_VALUE"""),"1.B.2  Oil and Natural Gas")</f>
        <v>1.B.2  Oil and Natural Gas</v>
      </c>
      <c r="E113" s="9">
        <f>IFERROR(__xludf.DUMMYFUNCTION("""COMPUTED_VALUE"""),1.0)</f>
        <v>1</v>
      </c>
      <c r="F113" s="9"/>
      <c r="G113" s="9"/>
      <c r="H113" s="9"/>
      <c r="I113" s="9"/>
      <c r="J113" s="9"/>
    </row>
    <row r="114">
      <c r="A114" s="9" t="b">
        <f>IFERROR(__xludf.DUMMYFUNCTION("""COMPUTED_VALUE"""),FALSE)</f>
        <v>0</v>
      </c>
      <c r="B114" s="9" t="str">
        <f>IFERROR(__xludf.DUMMYFUNCTION("""COMPUTED_VALUE"""),"petrochemicals")</f>
        <v>petrochemicals</v>
      </c>
      <c r="C114" s="9"/>
      <c r="D114" s="9"/>
      <c r="E114" s="9">
        <f>IFERROR(__xludf.DUMMYFUNCTION("""COMPUTED_VALUE"""),1.0)</f>
        <v>1</v>
      </c>
      <c r="F114" s="9"/>
      <c r="G114" s="9"/>
      <c r="H114" s="9"/>
      <c r="I114" s="9"/>
      <c r="J114" s="9"/>
    </row>
    <row r="115">
      <c r="A115" s="9" t="b">
        <f>IFERROR(__xludf.DUMMYFUNCTION("""COMPUTED_VALUE"""),FALSE)</f>
        <v>0</v>
      </c>
      <c r="B115" s="9" t="str">
        <f>IFERROR(__xludf.DUMMYFUNCTION("""COMPUTED_VALUE"""),"other-fossil-fuel-operations")</f>
        <v>other-fossil-fuel-operations</v>
      </c>
      <c r="C115" s="9"/>
      <c r="D115" s="9"/>
      <c r="E115" s="9">
        <f>IFERROR(__xludf.DUMMYFUNCTION("""COMPUTED_VALUE"""),1.0)</f>
        <v>1</v>
      </c>
      <c r="F115" s="9"/>
      <c r="G115" s="9"/>
      <c r="H115" s="9"/>
      <c r="I115" s="9"/>
      <c r="J115" s="9"/>
    </row>
    <row r="116">
      <c r="A116" s="9" t="b">
        <f>IFERROR(__xludf.DUMMYFUNCTION("""COMPUTED_VALUE"""),FALSE)</f>
        <v>0</v>
      </c>
      <c r="B116" s="9" t="str">
        <f>IFERROR(__xludf.DUMMYFUNCTION("""COMPUTED_VALUE"""),"cement")</f>
        <v>cement</v>
      </c>
      <c r="C116" s="9" t="str">
        <f>IFERROR(__xludf.DUMMYFUNCTION("""COMPUTED_VALUE"""),"unfccc_non_annex_1")</f>
        <v>unfccc_non_annex_1</v>
      </c>
      <c r="D116" s="9" t="str">
        <f>IFERROR(__xludf.DUMMYFUNCTION("""COMPUTED_VALUE"""),"2.A.1  Cement Production")</f>
        <v>2.A.1  Cement Production</v>
      </c>
      <c r="E116" s="9">
        <f>IFERROR(__xludf.DUMMYFUNCTION("""COMPUTED_VALUE"""),1.0)</f>
        <v>1</v>
      </c>
      <c r="F116" s="9"/>
      <c r="G116" s="9"/>
      <c r="H116" s="9"/>
      <c r="I116" s="9"/>
      <c r="J116" s="9"/>
    </row>
    <row r="117">
      <c r="A117" s="9" t="b">
        <f>IFERROR(__xludf.DUMMYFUNCTION("""COMPUTED_VALUE"""),FALSE)</f>
        <v>0</v>
      </c>
      <c r="B117" s="9" t="str">
        <f>IFERROR(__xludf.DUMMYFUNCTION("""COMPUTED_VALUE"""),"chemicals")</f>
        <v>chemicals</v>
      </c>
      <c r="C117" s="9" t="str">
        <f>IFERROR(__xludf.DUMMYFUNCTION("""COMPUTED_VALUE"""),"unfccc_non_annex_1")</f>
        <v>unfccc_non_annex_1</v>
      </c>
      <c r="D117" s="9" t="str">
        <f>IFERROR(__xludf.DUMMYFUNCTION("""COMPUTED_VALUE"""),"2.B  Chemical Industry")</f>
        <v>2.B  Chemical Industry</v>
      </c>
      <c r="E117" s="9">
        <f>IFERROR(__xludf.DUMMYFUNCTION("""COMPUTED_VALUE"""),1.0)</f>
        <v>1</v>
      </c>
      <c r="F117" s="9"/>
      <c r="G117" s="9"/>
      <c r="H117" s="9"/>
      <c r="I117" s="9"/>
      <c r="J117" s="9"/>
    </row>
    <row r="118">
      <c r="A118" s="9" t="b">
        <f>IFERROR(__xludf.DUMMYFUNCTION("""COMPUTED_VALUE"""),FALSE)</f>
        <v>0</v>
      </c>
      <c r="B118" s="9" t="str">
        <f>IFERROR(__xludf.DUMMYFUNCTION("""COMPUTED_VALUE"""),"steel")</f>
        <v>steel</v>
      </c>
      <c r="C118" s="9" t="str">
        <f>IFERROR(__xludf.DUMMYFUNCTION("""COMPUTED_VALUE"""),"unfccc_non_annex_1")</f>
        <v>unfccc_non_annex_1</v>
      </c>
      <c r="D118" s="9" t="str">
        <f>IFERROR(__xludf.DUMMYFUNCTION("""COMPUTED_VALUE"""),"2.C  Metal Production")</f>
        <v>2.C  Metal Production</v>
      </c>
      <c r="E118" s="9">
        <f>IFERROR(__xludf.DUMMYFUNCTION("""COMPUTED_VALUE"""),1.0)</f>
        <v>1</v>
      </c>
      <c r="F118" s="9"/>
      <c r="G118" s="9"/>
      <c r="H118" s="9"/>
      <c r="I118" s="9"/>
      <c r="J118" s="9"/>
    </row>
    <row r="119">
      <c r="A119" s="9" t="b">
        <f>IFERROR(__xludf.DUMMYFUNCTION("""COMPUTED_VALUE"""),FALSE)</f>
        <v>0</v>
      </c>
      <c r="B119" s="9" t="str">
        <f>IFERROR(__xludf.DUMMYFUNCTION("""COMPUTED_VALUE"""),"aluminum")</f>
        <v>aluminum</v>
      </c>
      <c r="C119" s="9" t="str">
        <f>IFERROR(__xludf.DUMMYFUNCTION("""COMPUTED_VALUE"""),"unfccc_non_annex_1")</f>
        <v>unfccc_non_annex_1</v>
      </c>
      <c r="D119" s="9" t="str">
        <f>IFERROR(__xludf.DUMMYFUNCTION("""COMPUTED_VALUE"""),"2.C  Metal Production")</f>
        <v>2.C  Metal Production</v>
      </c>
      <c r="E119" s="9">
        <f>IFERROR(__xludf.DUMMYFUNCTION("""COMPUTED_VALUE"""),1.0)</f>
        <v>1</v>
      </c>
      <c r="F119" s="9"/>
      <c r="G119" s="9"/>
      <c r="H119" s="9"/>
      <c r="I119" s="9"/>
      <c r="J119" s="9"/>
    </row>
    <row r="120">
      <c r="A120" s="9" t="b">
        <f>IFERROR(__xludf.DUMMYFUNCTION("""COMPUTED_VALUE"""),FALSE)</f>
        <v>0</v>
      </c>
      <c r="B120" s="9" t="str">
        <f>IFERROR(__xludf.DUMMYFUNCTION("""COMPUTED_VALUE"""),"pulp-and-paper")</f>
        <v>pulp-and-paper</v>
      </c>
      <c r="C120" s="9"/>
      <c r="D120" s="9"/>
      <c r="E120" s="9">
        <f>IFERROR(__xludf.DUMMYFUNCTION("""COMPUTED_VALUE"""),1.0)</f>
        <v>1</v>
      </c>
      <c r="F120" s="9"/>
      <c r="G120" s="9"/>
      <c r="H120" s="9"/>
      <c r="I120" s="9"/>
      <c r="J120" s="9"/>
    </row>
    <row r="121">
      <c r="A121" s="9" t="b">
        <f>IFERROR(__xludf.DUMMYFUNCTION("""COMPUTED_VALUE"""),FALSE)</f>
        <v>0</v>
      </c>
      <c r="B121" s="9" t="str">
        <f>IFERROR(__xludf.DUMMYFUNCTION("""COMPUTED_VALUE"""),"other-manufacturing")</f>
        <v>other-manufacturing</v>
      </c>
      <c r="C121" s="9"/>
      <c r="D121" s="9"/>
      <c r="E121" s="9">
        <f>IFERROR(__xludf.DUMMYFUNCTION("""COMPUTED_VALUE"""),1.0)</f>
        <v>1</v>
      </c>
      <c r="F121" s="9"/>
      <c r="G121" s="9"/>
      <c r="H121" s="9"/>
      <c r="I121" s="9"/>
      <c r="J121" s="9"/>
    </row>
    <row r="122">
      <c r="A122" s="9" t="b">
        <f>IFERROR(__xludf.DUMMYFUNCTION("""COMPUTED_VALUE"""),FALSE)</f>
        <v>0</v>
      </c>
      <c r="B122" s="9" t="str">
        <f>IFERROR(__xludf.DUMMYFUNCTION("""COMPUTED_VALUE"""),"mining-and-quarrying")</f>
        <v>mining-and-quarrying</v>
      </c>
      <c r="C122" s="9"/>
      <c r="D122" s="9"/>
      <c r="E122" s="9">
        <f>IFERROR(__xludf.DUMMYFUNCTION("""COMPUTED_VALUE"""),1.0)</f>
        <v>1</v>
      </c>
      <c r="F122" s="9"/>
      <c r="G122" s="9"/>
      <c r="H122" s="9"/>
      <c r="I122" s="9"/>
      <c r="J122" s="9"/>
    </row>
    <row r="123">
      <c r="A123" s="9" t="b">
        <f>IFERROR(__xludf.DUMMYFUNCTION("""COMPUTED_VALUE"""),FALSE)</f>
        <v>0</v>
      </c>
      <c r="B123" s="9" t="str">
        <f>IFERROR(__xludf.DUMMYFUNCTION("""COMPUTED_VALUE"""),"rock-quarrying")</f>
        <v>rock-quarrying</v>
      </c>
      <c r="C123" s="9"/>
      <c r="D123" s="9"/>
      <c r="E123" s="9">
        <f>IFERROR(__xludf.DUMMYFUNCTION("""COMPUTED_VALUE"""),1.0)</f>
        <v>1</v>
      </c>
      <c r="F123" s="9"/>
      <c r="G123" s="9"/>
      <c r="H123" s="9"/>
      <c r="I123" s="9"/>
      <c r="J123" s="9"/>
    </row>
    <row r="124">
      <c r="A124" s="9" t="b">
        <f>IFERROR(__xludf.DUMMYFUNCTION("""COMPUTED_VALUE"""),FALSE)</f>
        <v>0</v>
      </c>
      <c r="B124" s="9" t="str">
        <f>IFERROR(__xludf.DUMMYFUNCTION("""COMPUTED_VALUE"""),"enteric-fermentation")</f>
        <v>enteric-fermentation</v>
      </c>
      <c r="C124" s="9" t="str">
        <f>IFERROR(__xludf.DUMMYFUNCTION("""COMPUTED_VALUE"""),"unfccc_non_annex_1")</f>
        <v>unfccc_non_annex_1</v>
      </c>
      <c r="D124" s="9" t="str">
        <f>IFERROR(__xludf.DUMMYFUNCTION("""COMPUTED_VALUE"""),"4.A  Enteric Fermentation")</f>
        <v>4.A  Enteric Fermentation</v>
      </c>
      <c r="E124" s="9">
        <f>IFERROR(__xludf.DUMMYFUNCTION("""COMPUTED_VALUE"""),1.0)</f>
        <v>1</v>
      </c>
      <c r="F124" s="9"/>
      <c r="G124" s="9"/>
      <c r="H124" s="9"/>
      <c r="I124" s="9"/>
      <c r="J124" s="9"/>
    </row>
    <row r="125">
      <c r="A125" s="9" t="b">
        <f>IFERROR(__xludf.DUMMYFUNCTION("""COMPUTED_VALUE"""),FALSE)</f>
        <v>0</v>
      </c>
      <c r="B125" s="9" t="str">
        <f>IFERROR(__xludf.DUMMYFUNCTION("""COMPUTED_VALUE"""),"manure-management")</f>
        <v>manure-management</v>
      </c>
      <c r="C125" s="9" t="str">
        <f>IFERROR(__xludf.DUMMYFUNCTION("""COMPUTED_VALUE"""),"unfccc_non_annex_1")</f>
        <v>unfccc_non_annex_1</v>
      </c>
      <c r="D125" s="9" t="str">
        <f>IFERROR(__xludf.DUMMYFUNCTION("""COMPUTED_VALUE"""),"4.B  Manure Management")</f>
        <v>4.B  Manure Management</v>
      </c>
      <c r="E125" s="9">
        <f>IFERROR(__xludf.DUMMYFUNCTION("""COMPUTED_VALUE"""),1.0)</f>
        <v>1</v>
      </c>
      <c r="F125" s="9"/>
      <c r="G125" s="9"/>
      <c r="H125" s="9"/>
      <c r="I125" s="9"/>
      <c r="J125" s="9"/>
    </row>
    <row r="126">
      <c r="A126" s="9" t="b">
        <f>IFERROR(__xludf.DUMMYFUNCTION("""COMPUTED_VALUE"""),FALSE)</f>
        <v>0</v>
      </c>
      <c r="B126" s="9" t="str">
        <f>IFERROR(__xludf.DUMMYFUNCTION("""COMPUTED_VALUE"""),"rice-cultivation")</f>
        <v>rice-cultivation</v>
      </c>
      <c r="C126" s="9" t="str">
        <f>IFERROR(__xludf.DUMMYFUNCTION("""COMPUTED_VALUE"""),"unfccc_non_annex_1")</f>
        <v>unfccc_non_annex_1</v>
      </c>
      <c r="D126" s="9" t="str">
        <f>IFERROR(__xludf.DUMMYFUNCTION("""COMPUTED_VALUE"""),"4.C  Rice Cultivation")</f>
        <v>4.C  Rice Cultivation</v>
      </c>
      <c r="E126" s="9">
        <f>IFERROR(__xludf.DUMMYFUNCTION("""COMPUTED_VALUE"""),1.0)</f>
        <v>1</v>
      </c>
      <c r="F126" s="9"/>
      <c r="G126" s="9"/>
      <c r="H126" s="9"/>
      <c r="I126" s="9"/>
      <c r="J126" s="9"/>
    </row>
    <row r="127">
      <c r="A127" s="9" t="b">
        <f>IFERROR(__xludf.DUMMYFUNCTION("""COMPUTED_VALUE"""),FALSE)</f>
        <v>0</v>
      </c>
      <c r="B127" s="9" t="str">
        <f>IFERROR(__xludf.DUMMYFUNCTION("""COMPUTED_VALUE"""),"synthetic-fertilizer-application")</f>
        <v>synthetic-fertilizer-application</v>
      </c>
      <c r="C127" s="9" t="str">
        <f>IFERROR(__xludf.DUMMYFUNCTION("""COMPUTED_VALUE"""),"unfccc_non_annex_1")</f>
        <v>unfccc_non_annex_1</v>
      </c>
      <c r="D127" s="9" t="str">
        <f>IFERROR(__xludf.DUMMYFUNCTION("""COMPUTED_VALUE"""),"4.D  Agricultural Soils")</f>
        <v>4.D  Agricultural Soils</v>
      </c>
      <c r="E127" s="9">
        <f>IFERROR(__xludf.DUMMYFUNCTION("""COMPUTED_VALUE"""),1.0)</f>
        <v>1</v>
      </c>
      <c r="F127" s="9"/>
      <c r="G127" s="9"/>
      <c r="H127" s="9"/>
      <c r="I127" s="9"/>
      <c r="J127" s="9"/>
    </row>
    <row r="128">
      <c r="A128" s="9" t="b">
        <f>IFERROR(__xludf.DUMMYFUNCTION("""COMPUTED_VALUE"""),FALSE)</f>
        <v>0</v>
      </c>
      <c r="B128" s="9" t="str">
        <f>IFERROR(__xludf.DUMMYFUNCTION("""COMPUTED_VALUE"""),"other-agricultural-soil-emissions")</f>
        <v>other-agricultural-soil-emissions</v>
      </c>
      <c r="C128" s="9"/>
      <c r="D128" s="9"/>
      <c r="E128" s="9">
        <f>IFERROR(__xludf.DUMMYFUNCTION("""COMPUTED_VALUE"""),1.0)</f>
        <v>1</v>
      </c>
      <c r="F128" s="9"/>
      <c r="G128" s="9"/>
      <c r="H128" s="9"/>
      <c r="I128" s="9"/>
      <c r="J128" s="9"/>
    </row>
    <row r="129">
      <c r="A129" s="9" t="b">
        <f>IFERROR(__xludf.DUMMYFUNCTION("""COMPUTED_VALUE"""),FALSE)</f>
        <v>0</v>
      </c>
      <c r="B129" s="9" t="str">
        <f>IFERROR(__xludf.DUMMYFUNCTION("""COMPUTED_VALUE"""),"solid-waste-disposal")</f>
        <v>solid-waste-disposal</v>
      </c>
      <c r="C129" s="9" t="str">
        <f>IFERROR(__xludf.DUMMYFUNCTION("""COMPUTED_VALUE"""),"unfccc_non_annex_1")</f>
        <v>unfccc_non_annex_1</v>
      </c>
      <c r="D129" s="9" t="str">
        <f>IFERROR(__xludf.DUMMYFUNCTION("""COMPUTED_VALUE"""),"6.A  Solid Waste Disposal on Land")</f>
        <v>6.A  Solid Waste Disposal on Land</v>
      </c>
      <c r="E129" s="9">
        <f>IFERROR(__xludf.DUMMYFUNCTION("""COMPUTED_VALUE"""),1.0)</f>
        <v>1</v>
      </c>
      <c r="F129" s="9"/>
      <c r="G129" s="9"/>
      <c r="H129" s="9"/>
      <c r="I129" s="9"/>
      <c r="J129" s="9"/>
    </row>
    <row r="130">
      <c r="A130" s="9" t="b">
        <f>IFERROR(__xludf.DUMMYFUNCTION("""COMPUTED_VALUE"""),FALSE)</f>
        <v>0</v>
      </c>
      <c r="B130" s="9" t="str">
        <f>IFERROR(__xludf.DUMMYFUNCTION("""COMPUTED_VALUE"""),"biological-treatment-of-solid-waste-and-biogenic")</f>
        <v>biological-treatment-of-solid-waste-and-biogenic</v>
      </c>
      <c r="C130" s="9"/>
      <c r="D130" s="9"/>
      <c r="E130" s="9">
        <f>IFERROR(__xludf.DUMMYFUNCTION("""COMPUTED_VALUE"""),1.0)</f>
        <v>1</v>
      </c>
      <c r="F130" s="9"/>
      <c r="G130" s="9"/>
      <c r="H130" s="9"/>
      <c r="I130" s="9"/>
      <c r="J130" s="9"/>
    </row>
    <row r="131">
      <c r="A131" s="9" t="b">
        <f>IFERROR(__xludf.DUMMYFUNCTION("""COMPUTED_VALUE"""),FALSE)</f>
        <v>0</v>
      </c>
      <c r="B131" s="9" t="str">
        <f>IFERROR(__xludf.DUMMYFUNCTION("""COMPUTED_VALUE"""),"incineration-and-open-burning-of-waste")</f>
        <v>incineration-and-open-burning-of-waste</v>
      </c>
      <c r="C131" s="9" t="str">
        <f>IFERROR(__xludf.DUMMYFUNCTION("""COMPUTED_VALUE"""),"unfccc_non_annex_1")</f>
        <v>unfccc_non_annex_1</v>
      </c>
      <c r="D131" s="9" t="str">
        <f>IFERROR(__xludf.DUMMYFUNCTION("""COMPUTED_VALUE"""),"6.C. Waste Incineration")</f>
        <v>6.C. Waste Incineration</v>
      </c>
      <c r="E131" s="9">
        <f>IFERROR(__xludf.DUMMYFUNCTION("""COMPUTED_VALUE"""),1.0)</f>
        <v>1</v>
      </c>
      <c r="F131" s="9"/>
      <c r="G131" s="9"/>
      <c r="H131" s="9"/>
      <c r="I131" s="9"/>
      <c r="J131" s="9"/>
    </row>
    <row r="132">
      <c r="A132" s="9" t="b">
        <f>IFERROR(__xludf.DUMMYFUNCTION("""COMPUTED_VALUE"""),FALSE)</f>
        <v>0</v>
      </c>
      <c r="B132" s="9" t="str">
        <f>IFERROR(__xludf.DUMMYFUNCTION("""COMPUTED_VALUE"""),"wastewater-treatment-and-discharge")</f>
        <v>wastewater-treatment-and-discharge</v>
      </c>
      <c r="C132" s="9" t="str">
        <f>IFERROR(__xludf.DUMMYFUNCTION("""COMPUTED_VALUE"""),"unfccc_non_annex_1")</f>
        <v>unfccc_non_annex_1</v>
      </c>
      <c r="D132" s="9" t="str">
        <f>IFERROR(__xludf.DUMMYFUNCTION("""COMPUTED_VALUE"""),"6.B  Wastewater Handling")</f>
        <v>6.B  Wastewater Handling</v>
      </c>
      <c r="E132" s="9">
        <f>IFERROR(__xludf.DUMMYFUNCTION("""COMPUTED_VALUE"""),1.0)</f>
        <v>1</v>
      </c>
      <c r="F132" s="9"/>
      <c r="G132" s="9"/>
      <c r="H132" s="9"/>
      <c r="I132" s="9"/>
      <c r="J132" s="9"/>
    </row>
    <row r="133">
      <c r="A133" s="9" t="b">
        <f>IFERROR(__xludf.DUMMYFUNCTION("""COMPUTED_VALUE"""),FALSE)</f>
        <v>0</v>
      </c>
      <c r="B133" s="9" t="str">
        <f>IFERROR(__xludf.DUMMYFUNCTION("""COMPUTED_VALUE"""),"fluorinated-gases")</f>
        <v>fluorinated-gases</v>
      </c>
      <c r="C133" s="9"/>
      <c r="D133" s="9"/>
      <c r="E133" s="9">
        <f>IFERROR(__xludf.DUMMYFUNCTION("""COMPUTED_VALUE"""),1.0)</f>
        <v>1</v>
      </c>
      <c r="F133" s="9"/>
      <c r="G133" s="9"/>
      <c r="H133" s="9"/>
      <c r="I133" s="9"/>
      <c r="J133" s="9"/>
    </row>
    <row r="134">
      <c r="A134" s="9" t="b">
        <f>IFERROR(__xludf.DUMMYFUNCTION("""COMPUTED_VALUE"""),FALSE)</f>
        <v>0</v>
      </c>
      <c r="B134" s="9" t="str">
        <f>IFERROR(__xludf.DUMMYFUNCTION("""COMPUTED_VALUE"""),"forest-land-fires")</f>
        <v>forest-land-fires</v>
      </c>
      <c r="C134" s="9"/>
      <c r="D134" s="9"/>
      <c r="E134" s="9">
        <f>IFERROR(__xludf.DUMMYFUNCTION("""COMPUTED_VALUE"""),1.0)</f>
        <v>1</v>
      </c>
      <c r="F134" s="9"/>
      <c r="G134" s="9"/>
      <c r="H134" s="9"/>
      <c r="I134" s="9"/>
      <c r="J134" s="9"/>
    </row>
    <row r="135">
      <c r="A135" s="9" t="b">
        <f>IFERROR(__xludf.DUMMYFUNCTION("""COMPUTED_VALUE"""),FALSE)</f>
        <v>0</v>
      </c>
      <c r="B135" s="9" t="str">
        <f>IFERROR(__xludf.DUMMYFUNCTION("""COMPUTED_VALUE"""),"forest-land-clearing")</f>
        <v>forest-land-clearing</v>
      </c>
      <c r="C135" s="9"/>
      <c r="D135" s="9"/>
      <c r="E135" s="9">
        <f>IFERROR(__xludf.DUMMYFUNCTION("""COMPUTED_VALUE"""),1.0)</f>
        <v>1</v>
      </c>
      <c r="F135" s="9"/>
      <c r="G135" s="9"/>
      <c r="H135" s="9"/>
      <c r="I135" s="9"/>
      <c r="J135" s="9"/>
    </row>
    <row r="136">
      <c r="A136" s="9" t="b">
        <f>IFERROR(__xludf.DUMMYFUNCTION("""COMPUTED_VALUE"""),FALSE)</f>
        <v>0</v>
      </c>
      <c r="B136" s="9" t="str">
        <f>IFERROR(__xludf.DUMMYFUNCTION("""COMPUTED_VALUE"""),"forest-land-degradation")</f>
        <v>forest-land-degradation</v>
      </c>
      <c r="C136" s="9"/>
      <c r="D136" s="9"/>
      <c r="E136" s="9">
        <f>IFERROR(__xludf.DUMMYFUNCTION("""COMPUTED_VALUE"""),1.0)</f>
        <v>1</v>
      </c>
      <c r="F136" s="9"/>
      <c r="G136" s="9"/>
      <c r="H136" s="9"/>
      <c r="I136" s="9"/>
      <c r="J136" s="9"/>
    </row>
    <row r="137">
      <c r="A137" s="9" t="b">
        <f>IFERROR(__xludf.DUMMYFUNCTION("""COMPUTED_VALUE"""),FALSE)</f>
        <v>0</v>
      </c>
      <c r="B137" s="9" t="str">
        <f>IFERROR(__xludf.DUMMYFUNCTION("""COMPUTED_VALUE"""),"net-forest-land")</f>
        <v>net-forest-land</v>
      </c>
      <c r="C137" s="9"/>
      <c r="D137" s="9"/>
      <c r="E137" s="9">
        <f>IFERROR(__xludf.DUMMYFUNCTION("""COMPUTED_VALUE"""),1.0)</f>
        <v>1</v>
      </c>
      <c r="F137" s="9"/>
      <c r="G137" s="9"/>
      <c r="H137" s="9"/>
      <c r="I137" s="9"/>
      <c r="J137" s="9"/>
    </row>
    <row r="138">
      <c r="A138" s="9" t="b">
        <f>IFERROR(__xludf.DUMMYFUNCTION("""COMPUTED_VALUE"""),FALSE)</f>
        <v>0</v>
      </c>
      <c r="B138" s="9" t="str">
        <f>IFERROR(__xludf.DUMMYFUNCTION("""COMPUTED_VALUE"""),"net-shrubgrass")</f>
        <v>net-shrubgrass</v>
      </c>
      <c r="C138" s="9"/>
      <c r="D138" s="9"/>
      <c r="E138" s="9">
        <f>IFERROR(__xludf.DUMMYFUNCTION("""COMPUTED_VALUE"""),1.0)</f>
        <v>1</v>
      </c>
      <c r="F138" s="9"/>
      <c r="G138" s="9"/>
      <c r="H138" s="9"/>
      <c r="I138" s="9"/>
      <c r="J138" s="9"/>
    </row>
    <row r="139">
      <c r="A139" s="9" t="b">
        <f>IFERROR(__xludf.DUMMYFUNCTION("""COMPUTED_VALUE"""),FALSE)</f>
        <v>0</v>
      </c>
      <c r="B139" s="9" t="str">
        <f>IFERROR(__xludf.DUMMYFUNCTION("""COMPUTED_VALUE"""),"net-wetland")</f>
        <v>net-wetland</v>
      </c>
      <c r="C139" s="9"/>
      <c r="D139" s="9"/>
      <c r="E139" s="9">
        <f>IFERROR(__xludf.DUMMYFUNCTION("""COMPUTED_VALUE"""),1.0)</f>
        <v>1</v>
      </c>
      <c r="F139" s="9"/>
      <c r="G139" s="9"/>
      <c r="H139" s="9"/>
      <c r="I139" s="9"/>
      <c r="J139" s="9"/>
    </row>
    <row r="140">
      <c r="A140" s="9" t="b">
        <f>IFERROR(__xludf.DUMMYFUNCTION("""COMPUTED_VALUE"""),FALSE)</f>
        <v>0</v>
      </c>
      <c r="B140" s="9" t="str">
        <f>IFERROR(__xludf.DUMMYFUNCTION("""COMPUTED_VALUE"""),"shrubgrass-fires")</f>
        <v>shrubgrass-fires</v>
      </c>
      <c r="C140" s="9"/>
      <c r="D140" s="9"/>
      <c r="E140" s="9">
        <f>IFERROR(__xludf.DUMMYFUNCTION("""COMPUTED_VALUE"""),1.0)</f>
        <v>1</v>
      </c>
      <c r="F140" s="9"/>
      <c r="G140" s="9"/>
      <c r="H140" s="9"/>
      <c r="I140" s="9"/>
      <c r="J140" s="9"/>
    </row>
    <row r="141">
      <c r="A141" s="9" t="b">
        <f>IFERROR(__xludf.DUMMYFUNCTION("""COMPUTED_VALUE"""),FALSE)</f>
        <v>0</v>
      </c>
      <c r="B141" s="9" t="str">
        <f>IFERROR(__xludf.DUMMYFUNCTION("""COMPUTED_VALUE"""),"wetland-fires")</f>
        <v>wetland-fires</v>
      </c>
      <c r="C141" s="9"/>
      <c r="D141" s="9"/>
      <c r="E141" s="9">
        <f>IFERROR(__xludf.DUMMYFUNCTION("""COMPUTED_VALUE"""),1.0)</f>
        <v>1</v>
      </c>
      <c r="F141" s="9"/>
      <c r="G141" s="9"/>
      <c r="H141" s="9"/>
      <c r="I141" s="9"/>
      <c r="J141" s="9"/>
    </row>
    <row r="142">
      <c r="A142" s="9" t="b">
        <f>IFERROR(__xludf.DUMMYFUNCTION("""COMPUTED_VALUE"""),FALSE)</f>
        <v>0</v>
      </c>
      <c r="B142" s="9" t="str">
        <f>IFERROR(__xludf.DUMMYFUNCTION("""COMPUTED_VALUE"""),"removals")</f>
        <v>removals</v>
      </c>
      <c r="C142" s="9"/>
      <c r="D142" s="9"/>
      <c r="E142" s="9">
        <f>IFERROR(__xludf.DUMMYFUNCTION("""COMPUTED_VALUE"""),1.0)</f>
        <v>1</v>
      </c>
      <c r="F142" s="9"/>
      <c r="G142" s="9"/>
      <c r="H142" s="9"/>
      <c r="I142" s="9"/>
      <c r="J142" s="9"/>
    </row>
    <row r="143">
      <c r="A143" s="9" t="b">
        <f>IFERROR(__xludf.DUMMYFUNCTION("""COMPUTED_VALUE"""),FALSE)</f>
        <v>0</v>
      </c>
      <c r="B143" s="9" t="str">
        <f>IFERROR(__xludf.DUMMYFUNCTION("""COMPUTED_VALUE"""),"water-reservoirs")</f>
        <v>water-reservoirs</v>
      </c>
      <c r="C143" s="9"/>
      <c r="D143" s="9"/>
      <c r="E143" s="9">
        <f>IFERROR(__xludf.DUMMYFUNCTION("""COMPUTED_VALUE"""),1.0)</f>
        <v>1</v>
      </c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""carbon-monitor-graph-utility!A1:J200"")"),"Annex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IFERROR(__xludf.DUMMYFUNCTION("""COMPUTED_VALUE"""),"carbon-monitor")</f>
        <v>carbon-monitor</v>
      </c>
      <c r="D2" s="9" t="str">
        <f>IFERROR(__xludf.DUMMYFUNCTION("""COMPUTED_VALUE"""),"Power")</f>
        <v>Power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IFERROR(__xludf.DUMMYFUNCTION("""COMPUTED_VALUE"""),"domestic-aviation")</f>
        <v>domestic-aviation</v>
      </c>
      <c r="C3" s="9" t="str">
        <f>IFERROR(__xludf.DUMMYFUNCTION("""COMPUTED_VALUE"""),"carbon-monitor")</f>
        <v>carbon-monitor</v>
      </c>
      <c r="D3" s="9" t="str">
        <f>IFERROR(__xludf.DUMMYFUNCTION("""COMPUTED_VALUE"""),"Domestic Aviation")</f>
        <v>Domestic Aviation</v>
      </c>
      <c r="E3" s="9">
        <f>IFERROR(__xludf.DUMMYFUNCTION("""COMPUTED_VALUE"""),1.0)</f>
        <v>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IFERROR(__xludf.DUMMYFUNCTION("""COMPUTED_VALUE"""),"international-aviation")</f>
        <v>international-aviation</v>
      </c>
      <c r="C4" s="9" t="str">
        <f>IFERROR(__xludf.DUMMYFUNCTION("""COMPUTED_VALUE"""),"carbon-monitor")</f>
        <v>carbon-monitor</v>
      </c>
      <c r="D4" s="9" t="str">
        <f>IFERROR(__xludf.DUMMYFUNCTION("""COMPUTED_VALUE"""),"International Aviation")</f>
        <v>International Aviation</v>
      </c>
      <c r="E4" s="9">
        <f>IFERROR(__xludf.DUMMYFUNCTION("""COMPUTED_VALUE"""),1.0)</f>
        <v>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IFERROR(__xludf.DUMMYFUNCTION("""COMPUTED_VALUE"""),"international-shipping")</f>
        <v>international-shipping</v>
      </c>
      <c r="C5" s="9"/>
      <c r="D5" s="9"/>
      <c r="E5" s="9"/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/>
      <c r="D6" s="9"/>
      <c r="E6" s="9"/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IFERROR(__xludf.DUMMYFUNCTION("""COMPUTED_VALUE"""),"oil-and-gas-production-and-transport")</f>
        <v>oil-and-gas-production-and-transport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IFERROR(__xludf.DUMMYFUNCTION("""COMPUTED_VALUE"""),"oil-and-gas-refining")</f>
        <v>oil-and-gas-refining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IFERROR(__xludf.DUMMYFUNCTION("""COMPUTED_VALUE"""),"petrochemicals")</f>
        <v>petrochemicals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IFERROR(__xludf.DUMMYFUNCTION("""COMPUTED_VALUE"""),"cement")</f>
        <v>cement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IFERROR(__xludf.DUMMYFUNCTION("""COMPUTED_VALUE"""),"chemicals")</f>
        <v>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IFERROR(__xludf.DUMMYFUNCTION("""COMPUTED_VALUE"""),"steel")</f>
        <v>steel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IFERROR(__xludf.DUMMYFUNCTION("""COMPUTED_VALUE"""),"aluminum")</f>
        <v>aluminum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IFERROR(__xludf.DUMMYFUNCTION("""COMPUTED_VALUE"""),"pulp-and-paper")</f>
        <v>pulp-and-paper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IFERROR(__xludf.DUMMYFUNCTION("""COMPUTED_VALUE"""),"mining-and-quarrying")</f>
        <v>mining-and-quarrying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IFERROR(__xludf.DUMMYFUNCTION("""COMPUTED_VALUE"""),"enteric-fermentation-cattle")</f>
        <v>enteric-fermentation-cattle</v>
      </c>
      <c r="C17" s="9"/>
      <c r="D17" s="9"/>
      <c r="E17" s="9"/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IFERROR(__xludf.DUMMYFUNCTION("""COMPUTED_VALUE"""),"enteric-fermentation-cattle")</f>
        <v>enteric-fermentation-cattle</v>
      </c>
      <c r="C18" s="9"/>
      <c r="D18" s="9"/>
      <c r="E18" s="9"/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IFERROR(__xludf.DUMMYFUNCTION("""COMPUTED_VALUE"""),"manure-management-cattle")</f>
        <v>manure-management-cattle</v>
      </c>
      <c r="C19" s="9"/>
      <c r="D19" s="9"/>
      <c r="E19" s="9"/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IFERROR(__xludf.DUMMYFUNCTION("""COMPUTED_VALUE"""),"manure-management-cattle")</f>
        <v>manure-management-cattle</v>
      </c>
      <c r="C20" s="9"/>
      <c r="D20" s="9"/>
      <c r="E20" s="9"/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IFERROR(__xludf.DUMMYFUNCTION("""COMPUTED_VALUE"""),"rice-cultivation")</f>
        <v>rice-cultivation</v>
      </c>
      <c r="C21" s="9"/>
      <c r="D21" s="9"/>
      <c r="E21" s="9"/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IFERROR(__xludf.DUMMYFUNCTION("""COMPUTED_VALUE"""),"synthetic-fertilizer-application")</f>
        <v>synthetic-fertilizer-application</v>
      </c>
      <c r="C22" s="9"/>
      <c r="D22" s="9"/>
      <c r="E22" s="9"/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IFERROR(__xludf.DUMMYFUNCTION("""COMPUTED_VALUE"""),"cropland-fires")</f>
        <v>cropland-fires</v>
      </c>
      <c r="C23" s="9"/>
      <c r="D23" s="9"/>
      <c r="E23" s="9"/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IFERROR(__xludf.DUMMYFUNCTION("""COMPUTED_VALUE"""),"forest-land-fires")</f>
        <v>forest-land-fires</v>
      </c>
      <c r="C24" s="9"/>
      <c r="D24" s="9"/>
      <c r="E24" s="9"/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IFERROR(__xludf.DUMMYFUNCTION("""COMPUTED_VALUE"""),"forest-land-clearing")</f>
        <v>forest-land-clearing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IFERROR(__xludf.DUMMYFUNCTION("""COMPUTED_VALUE"""),"forest-land-degradation")</f>
        <v>forest-land-degradation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IFERROR(__xludf.DUMMYFUNCTION("""COMPUTED_VALUE"""),"net-forest-land")</f>
        <v>net-forest-land</v>
      </c>
      <c r="C27" s="9"/>
      <c r="D27" s="9"/>
      <c r="E27" s="9"/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IFERROR(__xludf.DUMMYFUNCTION("""COMPUTED_VALUE"""),"net-shrubgrass")</f>
        <v>net-shrubgrass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IFERROR(__xludf.DUMMYFUNCTION("""COMPUTED_VALUE"""),"net-wetland")</f>
        <v>net-wetland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IFERROR(__xludf.DUMMYFUNCTION("""COMPUTED_VALUE"""),"shrubgrass-fires")</f>
        <v>shrubgrass-fires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IFERROR(__xludf.DUMMYFUNCTION("""COMPUTED_VALUE"""),"wetland-fires")</f>
        <v>wetland-fires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IFERROR(__xludf.DUMMYFUNCTION("""COMPUTED_VALUE"""),"removals")</f>
        <v>removals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IFERROR(__xludf.DUMMYFUNCTION("""COMPUTED_VALUE"""),"water-reservoirs")</f>
        <v>water-reservoirs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IFERROR(__xludf.DUMMYFUNCTION("""COMPUTED_VALUE"""),FALSE)</f>
        <v>0</v>
      </c>
      <c r="B34" s="9" t="str">
        <f>IFERROR(__xludf.DUMMYFUNCTION("""COMPUTED_VALUE"""),"electricity-generation")</f>
        <v>electricity-generation</v>
      </c>
      <c r="C34" s="9" t="str">
        <f>IFERROR(__xludf.DUMMYFUNCTION("""COMPUTED_VALUE"""),"carbon-monitor")</f>
        <v>carbon-monitor</v>
      </c>
      <c r="D34" s="9" t="str">
        <f>IFERROR(__xludf.DUMMYFUNCTION("""COMPUTED_VALUE"""),"Power")</f>
        <v>Power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IFERROR(__xludf.DUMMYFUNCTION("""COMPUTED_VALUE"""),FALSE)</f>
        <v>0</v>
      </c>
      <c r="B35" s="9" t="str">
        <f>IFERROR(__xludf.DUMMYFUNCTION("""COMPUTED_VALUE"""),"domestic-aviation")</f>
        <v>domestic-aviation</v>
      </c>
      <c r="C35" s="9" t="str">
        <f>IFERROR(__xludf.DUMMYFUNCTION("""COMPUTED_VALUE"""),"carbon-monitor")</f>
        <v>carbon-monitor</v>
      </c>
      <c r="D35" s="9" t="str">
        <f>IFERROR(__xludf.DUMMYFUNCTION("""COMPUTED_VALUE"""),"Domestic Aviation")</f>
        <v>Domestic Aviation</v>
      </c>
      <c r="E35" s="9">
        <f>IFERROR(__xludf.DUMMYFUNCTION("""COMPUTED_VALUE"""),1.0)</f>
        <v>1</v>
      </c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IFERROR(__xludf.DUMMYFUNCTION("""COMPUTED_VALUE"""),"international-aviation")</f>
        <v>international-aviation</v>
      </c>
      <c r="C36" s="9" t="str">
        <f>IFERROR(__xludf.DUMMYFUNCTION("""COMPUTED_VALUE"""),"carbon-monitor")</f>
        <v>carbon-monitor</v>
      </c>
      <c r="D36" s="9" t="str">
        <f>IFERROR(__xludf.DUMMYFUNCTION("""COMPUTED_VALUE"""),"International Aviation")</f>
        <v>International Aviation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IFERROR(__xludf.DUMMYFUNCTION("""COMPUTED_VALUE"""),"international-shipping")</f>
        <v>international-shipping</v>
      </c>
      <c r="C37" s="9"/>
      <c r="D37" s="9"/>
      <c r="E37" s="9"/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IFERROR(__xludf.DUMMYFUNCTION("""COMPUTED_VALUE"""),"domestic-shipping")</f>
        <v>domestic-shipping</v>
      </c>
      <c r="C38" s="9"/>
      <c r="D38" s="9"/>
      <c r="E38" s="9"/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IFERROR(__xludf.DUMMYFUNCTION("""COMPUTED_VALUE"""),"coal-mining")</f>
        <v>coal-mining</v>
      </c>
      <c r="C39" s="9"/>
      <c r="D39" s="9"/>
      <c r="E39" s="9"/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IFERROR(__xludf.DUMMYFUNCTION("""COMPUTED_VALUE"""),"oil-and-gas-production-and-transport")</f>
        <v>oil-and-gas-production-and-transport</v>
      </c>
      <c r="C40" s="9"/>
      <c r="D40" s="9"/>
      <c r="E40" s="9"/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IFERROR(__xludf.DUMMYFUNCTION("""COMPUTED_VALUE"""),"oil-and-gas-refining")</f>
        <v>oil-and-gas-refining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IFERROR(__xludf.DUMMYFUNCTION("""COMPUTED_VALUE"""),"petrochemicals")</f>
        <v>petrochemicals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IFERROR(__xludf.DUMMYFUNCTION("""COMPUTED_VALUE"""),"cement")</f>
        <v>cement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IFERROR(__xludf.DUMMYFUNCTION("""COMPUTED_VALUE"""),"chemicals")</f>
        <v>chemicals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IFERROR(__xludf.DUMMYFUNCTION("""COMPUTED_VALUE"""),"steel")</f>
        <v>steel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IFERROR(__xludf.DUMMYFUNCTION("""COMPUTED_VALUE"""),"aluminum")</f>
        <v>aluminum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IFERROR(__xludf.DUMMYFUNCTION("""COMPUTED_VALUE"""),"pulp-and-paper")</f>
        <v>pulp-and-paper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IFERROR(__xludf.DUMMYFUNCTION("""COMPUTED_VALUE"""),"mining-and-quarrying")</f>
        <v>mining-and-quarrying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IFERROR(__xludf.DUMMYFUNCTION("""COMPUTED_VALUE"""),"enteric-fermentation")</f>
        <v>enteric-fermentation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IFERROR(__xludf.DUMMYFUNCTION("""COMPUTED_VALUE"""),"manure-management")</f>
        <v>manure-management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IFERROR(__xludf.DUMMYFUNCTION("""COMPUTED_VALUE"""),"rice-cultivation")</f>
        <v>rice-cultivation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IFERROR(__xludf.DUMMYFUNCTION("""COMPUTED_VALUE"""),"synthetic-fertilizer-application")</f>
        <v>synthetic-fertilizer-application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IFERROR(__xludf.DUMMYFUNCTION("""COMPUTED_VALUE"""),"forest-land-fires")</f>
        <v>forest-land-fires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IFERROR(__xludf.DUMMYFUNCTION("""COMPUTED_VALUE"""),"forest-land-clearing")</f>
        <v>forest-land-clearing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IFERROR(__xludf.DUMMYFUNCTION("""COMPUTED_VALUE"""),"forest-land-degradation")</f>
        <v>forest-land-degradation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IFERROR(__xludf.DUMMYFUNCTION("""COMPUTED_VALUE"""),"net-forest-land")</f>
        <v>net-forest-land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IFERROR(__xludf.DUMMYFUNCTION("""COMPUTED_VALUE"""),"net-shrubgrass")</f>
        <v>net-shrubgrass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IFERROR(__xludf.DUMMYFUNCTION("""COMPUTED_VALUE"""),"net-wetland")</f>
        <v>net-wetland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IFERROR(__xludf.DUMMYFUNCTION("""COMPUTED_VALUE"""),"shrubgrass-fires")</f>
        <v>shrubgrass-fires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IFERROR(__xludf.DUMMYFUNCTION("""COMPUTED_VALUE"""),"wetland-fires")</f>
        <v>wetland-fires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IFERROR(__xludf.DUMMYFUNCTION("""COMPUTED_VALUE"""),"removals")</f>
        <v>removals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IFERROR(__xludf.DUMMYFUNCTION("""COMPUTED_VALUE"""),"water-reservoirs")</f>
        <v>water-reservoirs</v>
      </c>
      <c r="C62" s="9"/>
      <c r="D62" s="9"/>
      <c r="E62" s="9"/>
      <c r="F62" s="9"/>
      <c r="G62" s="9"/>
      <c r="H62" s="9"/>
      <c r="I62" s="9"/>
      <c r="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0"/>
    <col customWidth="1" min="4" max="4" width="31.63"/>
    <col customWidth="1" min="6" max="6" width="37.63"/>
  </cols>
  <sheetData>
    <row r="1">
      <c r="A1" s="8" t="str">
        <f>IFERROR(__xludf.DUMMYFUNCTION("IMPORTRANGE(""https://docs.google.com/spreadsheets/d/1crBeTIm7isN5EkvLbmkhoZYJqep1xzNwDVNnIu94l6E/edit#gid=0"", ""edgar-graph-utility!A1:E200"")"),"Annex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IFERROR(__xludf.DUMMYFUNCTION("""COMPUTED_VALUE"""),"edgar")</f>
        <v>edgar</v>
      </c>
      <c r="D2" s="9" t="str">
        <f>IFERROR(__xludf.DUMMYFUNCTION("""COMPUTED_VALUE"""),"1.A.1.a Main Activity Electricity and Heat Production")</f>
        <v>1.A.1.a Main Activity Electricity and Heat Production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 Heat Plants")</f>
        <v>1.A.1.a.iii 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IFERROR(__xludf.DUMMYFUNCTION("""COMPUTED_VALUE"""),"domestic-aviation")</f>
        <v>domestic-aviation</v>
      </c>
      <c r="C5" s="9" t="str">
        <f>IFERROR(__xludf.DUMMYFUNCTION("""COMPUTED_VALUE"""),"edgar")</f>
        <v>edgar</v>
      </c>
      <c r="D5" s="9" t="str">
        <f>IFERROR(__xludf.DUMMYFUNCTION("""COMPUTED_VALUE"""),"1.A.3.a Civil Aviation")</f>
        <v>1.A.3.a Civil 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 t="str">
        <f>IFERROR(__xludf.DUMMYFUNCTION("""COMPUTED_VALUE"""),"edgar")</f>
        <v>edgar</v>
      </c>
      <c r="D6" s="9" t="str">
        <f>IFERROR(__xludf.DUMMYFUNCTION("""COMPUTED_VALUE"""),"1.A.3.d Water-borne Navigation")</f>
        <v>1.A.3.d Water-borne Navigation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 t="str">
        <f>IFERROR(__xludf.DUMMYFUNCTION("""COMPUTED_VALUE"""),"edgar")</f>
        <v>edgar</v>
      </c>
      <c r="D7" s="9" t="str">
        <f>IFERROR(__xludf.DUMMYFUNCTION("""COMPUTED_VALUE"""),"1.B.1 Solid Fuels")</f>
        <v>1.B.1 Solid Fuels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IFERROR(__xludf.DUMMYFUNCTION("""COMPUTED_VALUE"""),"coal-mining")</f>
        <v>coal-mining</v>
      </c>
      <c r="C8" s="9" t="str">
        <f>IFERROR(__xludf.DUMMYFUNCTION("""COMPUTED_VALUE"""),"unfccc_annex_1")</f>
        <v>unfccc_annex_1</v>
      </c>
      <c r="D8" s="9" t="str">
        <f>IFERROR(__xludf.DUMMYFUNCTION("""COMPUTED_VALUE"""),"1.B.1.b  Solid Fuel Transformation")</f>
        <v>1.B.1.b  Solid Fuel Transformation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IFERROR(__xludf.DUMMYFUNCTION("""COMPUTED_VALUE"""),"coal-mining")</f>
        <v>coal-mining</v>
      </c>
      <c r="C9" s="9" t="str">
        <f>IFERROR(__xludf.DUMMYFUNCTION("""COMPUTED_VALUE"""),"unfccc_annex_1")</f>
        <v>unfccc_annex_1</v>
      </c>
      <c r="D9" s="9" t="str">
        <f>IFERROR(__xludf.DUMMYFUNCTION("""COMPUTED_VALUE"""),"1.B.1.c  Other")</f>
        <v>1.B.1.c  Other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IFERROR(__xludf.DUMMYFUNCTION("""COMPUTED_VALUE"""),"oil-and-gas-production-and-transport")</f>
        <v>oil-and-gas-production-and-transport</v>
      </c>
      <c r="C10" s="9" t="str">
        <f>IFERROR(__xludf.DUMMYFUNCTION("""COMPUTED_VALUE"""),"edgar")</f>
        <v>edgar</v>
      </c>
      <c r="D10" s="9" t="str">
        <f>IFERROR(__xludf.DUMMYFUNCTION("""COMPUTED_VALUE"""),"1.B.2 Oil and Natural Gas")</f>
        <v>1.B.2 Oil and Natural Gas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IFERROR(__xludf.DUMMYFUNCTION("""COMPUTED_VALUE"""),"oil-and-gas-production-and-transport")</f>
        <v>oil-and-gas-production-and-transport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IFERROR(__xludf.DUMMYFUNCTION("""COMPUTED_VALUE"""),"1.B.2.a.v  Distribution of Oil Products ")</f>
        <v>1.B.2.a.v  Distribution of Oil Products </v>
      </c>
      <c r="E11" s="9">
        <f>IFERROR(__xludf.DUMMYFUNCTION("""COMPUTED_VALUE"""),-1.0)</f>
        <v>-1</v>
      </c>
    </row>
    <row r="12">
      <c r="A12" s="9" t="b">
        <f>IFERROR(__xludf.DUMMYFUNCTION("""COMPUTED_VALUE"""),TRUE)</f>
        <v>1</v>
      </c>
      <c r="B12" s="9" t="str">
        <f>IFERROR(__xludf.DUMMYFUNCTION("""COMPUTED_VALUE"""),"oil-and-gas-production-and-transport")</f>
        <v>oil-and-gas-production-and-transport</v>
      </c>
      <c r="C12" s="9" t="str">
        <f>IFERROR(__xludf.DUMMYFUNCTION("""COMPUTED_VALUE"""),"unfccc_annex_1")</f>
        <v>unfccc_annex_1</v>
      </c>
      <c r="D12" s="9" t="str">
        <f>IFERROR(__xludf.DUMMYFUNCTION("""COMPUTED_VALUE"""),"1.B.2.a.vi  Other")</f>
        <v>1.B.2.a.vi  Other</v>
      </c>
      <c r="E12" s="9">
        <f>IFERROR(__xludf.DUMMYFUNCTION("""COMPUTED_VALUE"""),-1.0)</f>
        <v>-1</v>
      </c>
    </row>
    <row r="13">
      <c r="A13" s="9" t="b">
        <f>IFERROR(__xludf.DUMMYFUNCTION("""COMPUTED_VALUE"""),TRUE)</f>
        <v>1</v>
      </c>
      <c r="B13" s="9" t="str">
        <f>IFERROR(__xludf.DUMMYFUNCTION("""COMPUTED_VALUE"""),"oil-and-gas-production-and-transport")</f>
        <v>oil-and-gas-production-and-transport</v>
      </c>
      <c r="C13" s="9" t="str">
        <f>IFERROR(__xludf.DUMMYFUNCTION("""COMPUTED_VALUE"""),"unfccc_annex_1")</f>
        <v>unfccc_annex_1</v>
      </c>
      <c r="D13" s="9" t="str">
        <f>IFERROR(__xludf.DUMMYFUNCTION("""COMPUTED_VALUE"""),"1.B.2.b.v  Distribution")</f>
        <v>1.B.2.b.v  Distribution</v>
      </c>
      <c r="E13" s="9">
        <f>IFERROR(__xludf.DUMMYFUNCTION("""COMPUTED_VALUE"""),-1.0)</f>
        <v>-1</v>
      </c>
    </row>
    <row r="14">
      <c r="A14" s="9" t="b">
        <f>IFERROR(__xludf.DUMMYFUNCTION("""COMPUTED_VALUE"""),TRUE)</f>
        <v>1</v>
      </c>
      <c r="B14" s="9" t="str">
        <f>IFERROR(__xludf.DUMMYFUNCTION("""COMPUTED_VALUE"""),"oil-and-gas-production-and-transport")</f>
        <v>oil-and-gas-production-and-transport</v>
      </c>
      <c r="C14" s="9" t="str">
        <f>IFERROR(__xludf.DUMMYFUNCTION("""COMPUTED_VALUE"""),"unfccc_annex_1")</f>
        <v>unfccc_annex_1</v>
      </c>
      <c r="D14" s="9" t="str">
        <f>IFERROR(__xludf.DUMMYFUNCTION("""COMPUTED_VALUE"""),"1.B.2.b.vi  Other")</f>
        <v>1.B.2.b.vi  Other</v>
      </c>
      <c r="E14" s="9">
        <f>IFERROR(__xludf.DUMMYFUNCTION("""COMPUTED_VALUE"""),-1.0)</f>
        <v>-1</v>
      </c>
    </row>
    <row r="15">
      <c r="A15" s="9" t="b">
        <f>IFERROR(__xludf.DUMMYFUNCTION("""COMPUTED_VALUE"""),TRUE)</f>
        <v>1</v>
      </c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IFERROR(__xludf.DUMMYFUNCTION("""COMPUTED_VALUE"""),"unfccc_annex_1")</f>
        <v>unfccc_annex_1</v>
      </c>
      <c r="D15" s="9" t="str">
        <f>IFERROR(__xludf.DUMMYFUNCTION("""COMPUTED_VALUE"""),"1.B.2.d  Other")</f>
        <v>1.B.2.d  Other</v>
      </c>
      <c r="E15" s="9">
        <f>IFERROR(__xludf.DUMMYFUNCTION("""COMPUTED_VALUE"""),-1.0)</f>
        <v>-1</v>
      </c>
    </row>
    <row r="16">
      <c r="A16" s="9" t="b">
        <f>IFERROR(__xludf.DUMMYFUNCTION("""COMPUTED_VALUE"""),TRUE)</f>
        <v>1</v>
      </c>
      <c r="B16" s="9" t="str">
        <f>IFERROR(__xludf.DUMMYFUNCTION("""COMPUTED_VALUE"""),"oil-and-gas-production-and-transport")</f>
        <v>oil-and-gas-production-and-transport</v>
      </c>
      <c r="C16" s="9" t="str">
        <f>IFERROR(__xludf.DUMMYFUNCTION("""COMPUTED_VALUE"""),"unfccc_annex_1")</f>
        <v>unfccc_annex_1</v>
      </c>
      <c r="D16" s="9" t="str">
        <f>IFERROR(__xludf.DUMMYFUNCTION("""COMPUTED_VALUE"""),"1.A.1.c.ii  Oil and Gas Extraction")</f>
        <v>1.A.1.c.ii  Oil and Gas Extraction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IFERROR(__xludf.DUMMYFUNCTION("""COMPUTED_VALUE"""),"oil-and-gas-refining")</f>
        <v>oil-and-gas-refining</v>
      </c>
      <c r="C17" s="9" t="str">
        <f>IFERROR(__xludf.DUMMYFUNCTION("""COMPUTED_VALUE"""),"edgar")</f>
        <v>edgar</v>
      </c>
      <c r="D17" s="9" t="str">
        <f>IFERROR(__xludf.DUMMYFUNCTION("""COMPUTED_VALUE"""),"1.A.1.bc Petroleum Refining - Manufacture of Solid Fuels and Other Energy Industries")</f>
        <v>1.A.1.bc Petroleum Refining - Manufacture of Solid Fuels and Other Energy Industries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IFERROR(__xludf.DUMMYFUNCTION("""COMPUTED_VALUE"""),"oil-and-gas-refining")</f>
        <v>oil-and-gas-refining</v>
      </c>
      <c r="C18" s="9" t="str">
        <f>IFERROR(__xludf.DUMMYFUNCTION("""COMPUTED_VALUE"""),"unfccc_annex_1")</f>
        <v>unfccc_annex_1</v>
      </c>
      <c r="D18" s="9" t="str">
        <f>IFERROR(__xludf.DUMMYFUNCTION("""COMPUTED_VALUE"""),"1.A.1.c.  Manufacture of Solid Fuels and Other Energy Industries")</f>
        <v>1.A.1.c.  Manufacture of Solid Fuels and Other Energy Industries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IFERROR(__xludf.DUMMYFUNCTION("""COMPUTED_VALUE"""),"petrochemicals")</f>
        <v>petrochemicals</v>
      </c>
      <c r="C19" s="9"/>
      <c r="D19" s="9"/>
      <c r="E19" s="9"/>
    </row>
    <row r="20">
      <c r="A20" s="9" t="b">
        <f>IFERROR(__xludf.DUMMYFUNCTION("""COMPUTED_VALUE"""),TRUE)</f>
        <v>1</v>
      </c>
      <c r="B20" s="9" t="str">
        <f>IFERROR(__xludf.DUMMYFUNCTION("""COMPUTED_VALUE"""),"cement")</f>
        <v>cement</v>
      </c>
      <c r="C20" s="9" t="str">
        <f>IFERROR(__xludf.DUMMYFUNCTION("""COMPUTED_VALUE"""),"edgar")</f>
        <v>edgar</v>
      </c>
      <c r="D20" s="9" t="str">
        <f>IFERROR(__xludf.DUMMYFUNCTION("""COMPUTED_VALUE"""),"2.A.1 Cement production")</f>
        <v>2.A.1 Cement production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IFERROR(__xludf.DUMMYFUNCTION("""COMPUTED_VALUE"""),"chemicals")</f>
        <v>chemicals</v>
      </c>
      <c r="C21" s="9" t="str">
        <f>IFERROR(__xludf.DUMMYFUNCTION("""COMPUTED_VALUE"""),"edgar")</f>
        <v>edgar</v>
      </c>
      <c r="D21" s="9" t="str">
        <f>IFERROR(__xludf.DUMMYFUNCTION("""COMPUTED_VALUE"""),"2.B Chemical Industry")</f>
        <v>2.B Chemical Industry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IFERROR(__xludf.DUMMYFUNCTION("""COMPUTED_VALUE"""),"steel")</f>
        <v>steel</v>
      </c>
      <c r="C22" s="9" t="str">
        <f>IFERROR(__xludf.DUMMYFUNCTION("""COMPUTED_VALUE"""),"edgar")</f>
        <v>edgar</v>
      </c>
      <c r="D22" s="9" t="str">
        <f>IFERROR(__xludf.DUMMYFUNCTION("""COMPUTED_VALUE"""),"2.C Metal Industry")</f>
        <v>2.C Metal Industry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IFERROR(__xludf.DUMMYFUNCTION("""COMPUTED_VALUE"""),"steel")</f>
        <v>steel</v>
      </c>
      <c r="C23" s="9" t="str">
        <f>IFERROR(__xludf.DUMMYFUNCTION("""COMPUTED_VALUE"""),"unfccc_annex_1")</f>
        <v>unfccc_annex_1</v>
      </c>
      <c r="D23" s="9" t="str">
        <f>IFERROR(__xludf.DUMMYFUNCTION("""COMPUTED_VALUE"""),"2.C.3  Aluminium Production")</f>
        <v>2.C.3  Aluminium Production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IFERROR(__xludf.DUMMYFUNCTION("""COMPUTED_VALUE"""),"steel")</f>
        <v>steel</v>
      </c>
      <c r="C24" s="9" t="str">
        <f>IFERROR(__xludf.DUMMYFUNCTION("""COMPUTED_VALUE"""),"unfccc_annex_1")</f>
        <v>unfccc_annex_1</v>
      </c>
      <c r="D24" s="9" t="str">
        <f>IFERROR(__xludf.DUMMYFUNCTION("""COMPUTED_VALUE"""),"2.C.2  Ferroalloys Production")</f>
        <v>2.C.2  Ferroalloys Production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IFERROR(__xludf.DUMMYFUNCTION("""COMPUTED_VALUE"""),"steel")</f>
        <v>steel</v>
      </c>
      <c r="C25" s="9" t="str">
        <f>IFERROR(__xludf.DUMMYFUNCTION("""COMPUTED_VALUE"""),"unfccc_annex_1")</f>
        <v>unfccc_annex_1</v>
      </c>
      <c r="D25" s="9" t="str">
        <f>IFERROR(__xludf.DUMMYFUNCTION("""COMPUTED_VALUE"""),"2.C.4  Magnesium Production")</f>
        <v>2.C.4  Magnesium Production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IFERROR(__xludf.DUMMYFUNCTION("""COMPUTED_VALUE"""),"steel")</f>
        <v>steel</v>
      </c>
      <c r="C26" s="9" t="str">
        <f>IFERROR(__xludf.DUMMYFUNCTION("""COMPUTED_VALUE"""),"unfccc_annex_1")</f>
        <v>unfccc_annex_1</v>
      </c>
      <c r="D26" s="9" t="str">
        <f>IFERROR(__xludf.DUMMYFUNCTION("""COMPUTED_VALUE"""),"2.C.5  Lead Production")</f>
        <v>2.C.5  Lead Production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IFERROR(__xludf.DUMMYFUNCTION("""COMPUTED_VALUE"""),"steel")</f>
        <v>steel</v>
      </c>
      <c r="C27" s="9" t="str">
        <f>IFERROR(__xludf.DUMMYFUNCTION("""COMPUTED_VALUE"""),"unfccc_annex_1")</f>
        <v>unfccc_annex_1</v>
      </c>
      <c r="D27" s="9" t="str">
        <f>IFERROR(__xludf.DUMMYFUNCTION("""COMPUTED_VALUE"""),"2.C.6  Zinc Production")</f>
        <v>2.C.6  Zinc Production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IFERROR(__xludf.DUMMYFUNCTION("""COMPUTED_VALUE"""),"steel")</f>
        <v>steel</v>
      </c>
      <c r="C28" s="9" t="str">
        <f>IFERROR(__xludf.DUMMYFUNCTION("""COMPUTED_VALUE"""),"unfccc_annex_1")</f>
        <v>unfccc_annex_1</v>
      </c>
      <c r="D28" s="9" t="str">
        <f>IFERROR(__xludf.DUMMYFUNCTION("""COMPUTED_VALUE"""),"2.C.7  Other")</f>
        <v>2.C.7  Other</v>
      </c>
      <c r="E28" s="9">
        <f>IFERROR(__xludf.DUMMYFUNCTION("""COMPUTED_VALUE"""),-1.0)</f>
        <v>-1</v>
      </c>
    </row>
    <row r="29">
      <c r="A29" s="9" t="b">
        <f>IFERROR(__xludf.DUMMYFUNCTION("""COMPUTED_VALUE"""),TRUE)</f>
        <v>1</v>
      </c>
      <c r="B29" s="9" t="str">
        <f>IFERROR(__xludf.DUMMYFUNCTION("""COMPUTED_VALUE"""),"steel")</f>
        <v>steel</v>
      </c>
      <c r="C29" s="9" t="str">
        <f>IFERROR(__xludf.DUMMYFUNCTION("""COMPUTED_VALUE"""),"edgar")</f>
        <v>edgar</v>
      </c>
      <c r="D29" s="9" t="str">
        <f>IFERROR(__xludf.DUMMYFUNCTION("""COMPUTED_VALUE"""),"1.A.2 Manufacturing Industries and Construction")</f>
        <v>1.A.2 Manufacturing Industries and Construction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IFERROR(__xludf.DUMMYFUNCTION("""COMPUTED_VALUE"""),"steel")</f>
        <v>steel</v>
      </c>
      <c r="C30" s="9" t="str">
        <f>IFERROR(__xludf.DUMMYFUNCTION("""COMPUTED_VALUE"""),"unfccc_annex_1")</f>
        <v>unfccc_annex_1</v>
      </c>
      <c r="D30" s="9" t="str">
        <f>IFERROR(__xludf.DUMMYFUNCTION("""COMPUTED_VALUE"""),"1.A.2.b  Non-Ferrous Metals")</f>
        <v>1.A.2.b  Non-Ferrous Metals</v>
      </c>
      <c r="E30" s="9">
        <f>IFERROR(__xludf.DUMMYFUNCTION("""COMPUTED_VALUE"""),-1.0)</f>
        <v>-1</v>
      </c>
    </row>
    <row r="31">
      <c r="A31" s="9" t="b">
        <f>IFERROR(__xludf.DUMMYFUNCTION("""COMPUTED_VALUE"""),TRUE)</f>
        <v>1</v>
      </c>
      <c r="B31" s="9" t="str">
        <f>IFERROR(__xludf.DUMMYFUNCTION("""COMPUTED_VALUE"""),"steel")</f>
        <v>steel</v>
      </c>
      <c r="C31" s="9" t="str">
        <f>IFERROR(__xludf.DUMMYFUNCTION("""COMPUTED_VALUE"""),"unfccc_annex_1")</f>
        <v>unfccc_annex_1</v>
      </c>
      <c r="D31" s="9" t="str">
        <f>IFERROR(__xludf.DUMMYFUNCTION("""COMPUTED_VALUE"""),"1.A.2.d  Pulp, Paper and Print")</f>
        <v>1.A.2.d  Pulp, Paper and Print</v>
      </c>
      <c r="E31" s="9">
        <f>IFERROR(__xludf.DUMMYFUNCTION("""COMPUTED_VALUE"""),-1.0)</f>
        <v>-1</v>
      </c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IFERROR(__xludf.DUMMYFUNCTION("""COMPUTED_VALUE"""),"unfccc_annex_1")</f>
        <v>unfccc_annex_1</v>
      </c>
      <c r="D32" s="9" t="str">
        <f>IFERROR(__xludf.DUMMYFUNCTION("""COMPUTED_VALUE"""),"1.A.2.c  Chemicals")</f>
        <v>1.A.2.c  Chemicals</v>
      </c>
      <c r="E32" s="9">
        <f>IFERROR(__xludf.DUMMYFUNCTION("""COMPUTED_VALUE"""),-1.0)</f>
        <v>-1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IFERROR(__xludf.DUMMYFUNCTION("""COMPUTED_VALUE"""),"1.A.2.e  Food Processing, Beverages and Tobacco")</f>
        <v>1.A.2.e  Food Processing, Beverages and Tobacco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IFERROR(__xludf.DUMMYFUNCTION("""COMPUTED_VALUE"""),"1.A.2.f  Non-metallic Minerals")</f>
        <v>1.A.2.f  Non-metallic Minerals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IFERROR(__xludf.DUMMYFUNCTION("""COMPUTED_VALUE"""),"1.A.2.g  Other")</f>
        <v>1.A.2.g  Other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IFERROR(__xludf.DUMMYFUNCTION("""COMPUTED_VALUE"""),"aluminum")</f>
        <v>aluminum</v>
      </c>
      <c r="C36" s="9" t="str">
        <f>IFERROR(__xludf.DUMMYFUNCTION("""COMPUTED_VALUE"""),"edgar")</f>
        <v>edgar</v>
      </c>
      <c r="D36" s="9" t="str">
        <f>IFERROR(__xludf.DUMMYFUNCTION("""COMPUTED_VALUE"""),"2.C Metal Industry")</f>
        <v>2.C Metal Industry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IFERROR(__xludf.DUMMYFUNCTION("""COMPUTED_VALUE"""),"aluminum")</f>
        <v>aluminum</v>
      </c>
      <c r="C37" s="9" t="str">
        <f>IFERROR(__xludf.DUMMYFUNCTION("""COMPUTED_VALUE"""),"edgar")</f>
        <v>edgar</v>
      </c>
      <c r="D37" s="9" t="str">
        <f>IFERROR(__xludf.DUMMYFUNCTION("""COMPUTED_VALUE"""),"1.A.2 Manufacturing Industries and Construction")</f>
        <v>1.A.2 Manufacturing Industries and Construction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IFERROR(__xludf.DUMMYFUNCTION("""COMPUTED_VALUE"""),"aluminum")</f>
        <v>aluminum</v>
      </c>
      <c r="C38" s="9" t="str">
        <f>IFERROR(__xludf.DUMMYFUNCTION("""COMPUTED_VALUE"""),"unfccc_annex_1")</f>
        <v>unfccc_annex_1</v>
      </c>
      <c r="D38" s="9" t="str">
        <f>IFERROR(__xludf.DUMMYFUNCTION("""COMPUTED_VALUE"""),"1.A.2.a  Iron and Steel")</f>
        <v>1.A.2.a  Iron and Steel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 t="str">
        <f>IFERROR(__xludf.DUMMYFUNCTION("""COMPUTED_VALUE"""),"unfccc_annex_1")</f>
        <v>unfccc_annex_1</v>
      </c>
      <c r="D39" s="9" t="str">
        <f>IFERROR(__xludf.DUMMYFUNCTION("""COMPUTED_VALUE"""),"1.A.2.d  Pulp, Paper and Print")</f>
        <v>1.A.2.d  Pulp, Paper and Print</v>
      </c>
      <c r="E39" s="9">
        <f>IFERROR(__xludf.DUMMYFUNCTION("""COMPUTED_VALUE"""),-1.0)</f>
        <v>-1</v>
      </c>
    </row>
    <row r="40">
      <c r="A40" s="9" t="b">
        <f>IFERROR(__xludf.DUMMYFUNCTION("""COMPUTED_VALUE"""),TRUE)</f>
        <v>1</v>
      </c>
      <c r="B40" s="9" t="str">
        <f>IFERROR(__xludf.DUMMYFUNCTION("""COMPUTED_VALUE"""),"aluminum")</f>
        <v>aluminum</v>
      </c>
      <c r="C40" s="9" t="str">
        <f>IFERROR(__xludf.DUMMYFUNCTION("""COMPUTED_VALUE"""),"unfccc_annex_1")</f>
        <v>unfccc_annex_1</v>
      </c>
      <c r="D40" s="9" t="str">
        <f>IFERROR(__xludf.DUMMYFUNCTION("""COMPUTED_VALUE"""),"1.A.2.c  Chemicals")</f>
        <v>1.A.2.c  Chemicals</v>
      </c>
      <c r="E40" s="9">
        <f>IFERROR(__xludf.DUMMYFUNCTION("""COMPUTED_VALUE"""),-1.0)</f>
        <v>-1</v>
      </c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IFERROR(__xludf.DUMMYFUNCTION("""COMPUTED_VALUE"""),"unfccc_annex_1")</f>
        <v>unfccc_annex_1</v>
      </c>
      <c r="D41" s="9" t="str">
        <f>IFERROR(__xludf.DUMMYFUNCTION("""COMPUTED_VALUE"""),"1.A.2.e  Food Processing, Beverages and Tobacco")</f>
        <v>1.A.2.e  Food Processing, Beverages and Tobacco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IFERROR(__xludf.DUMMYFUNCTION("""COMPUTED_VALUE"""),"1.A.2.f  Non-metallic Minerals")</f>
        <v>1.A.2.f  Non-metallic Minerals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IFERROR(__xludf.DUMMYFUNCTION("""COMPUTED_VALUE"""),"1.A.2.g  Other")</f>
        <v>1.A.2.g  Other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IFERROR(__xludf.DUMMYFUNCTION("""COMPUTED_VALUE"""),"2.C.2  Ferroalloys Production")</f>
        <v>2.C.2  Ferroalloys Production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IFERROR(__xludf.DUMMYFUNCTION("""COMPUTED_VALUE"""),"2.C.4  Magnesium Production")</f>
        <v>2.C.4  Magnesium Production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IFERROR(__xludf.DUMMYFUNCTION("""COMPUTED_VALUE"""),"2.C.5  Lead Production")</f>
        <v>2.C.5  Lead Production</v>
      </c>
      <c r="E47" s="9">
        <f>IFERROR(__xludf.DUMMYFUNCTION("""COMPUTED_VALUE"""),-1.0)</f>
        <v>-1</v>
      </c>
    </row>
    <row r="48">
      <c r="A48" s="9" t="b">
        <f>IFERROR(__xludf.DUMMYFUNCTION("""COMPUTED_VALUE"""),TRUE)</f>
        <v>1</v>
      </c>
      <c r="B48" s="9" t="str">
        <f>IFERROR(__xludf.DUMMYFUNCTION("""COMPUTED_VALUE"""),"aluminum")</f>
        <v>aluminum</v>
      </c>
      <c r="C48" s="9" t="str">
        <f>IFERROR(__xludf.DUMMYFUNCTION("""COMPUTED_VALUE"""),"unfccc_annex_1")</f>
        <v>unfccc_annex_1</v>
      </c>
      <c r="D48" s="9" t="str">
        <f>IFERROR(__xludf.DUMMYFUNCTION("""COMPUTED_VALUE"""),"2.C.6  Zinc Production")</f>
        <v>2.C.6  Zinc Production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IFERROR(__xludf.DUMMYFUNCTION("""COMPUTED_VALUE"""),"aluminum")</f>
        <v>aluminum</v>
      </c>
      <c r="C49" s="9" t="str">
        <f>IFERROR(__xludf.DUMMYFUNCTION("""COMPUTED_VALUE"""),"unfccc_annex_1")</f>
        <v>unfccc_annex_1</v>
      </c>
      <c r="D49" s="9" t="str">
        <f>IFERROR(__xludf.DUMMYFUNCTION("""COMPUTED_VALUE"""),"2.C.7  Other")</f>
        <v>2.C.7  Other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IFERROR(__xludf.DUMMYFUNCTION("""COMPUTED_VALUE"""),"pulp-and-paper")</f>
        <v>pulp-and-paper</v>
      </c>
      <c r="C50" s="9" t="str">
        <f>IFERROR(__xludf.DUMMYFUNCTION("""COMPUTED_VALUE"""),"edgar")</f>
        <v>edgar</v>
      </c>
      <c r="D50" s="9" t="str">
        <f>IFERROR(__xludf.DUMMYFUNCTION("""COMPUTED_VALUE"""),"1.A.2 Manufacturing Industries and Construction")</f>
        <v>1.A.2 Manufacturing Industries and Construction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IFERROR(__xludf.DUMMYFUNCTION("""COMPUTED_VALUE"""),"pulp-and-paper")</f>
        <v>pulp-and-paper</v>
      </c>
      <c r="C51" s="9" t="str">
        <f>IFERROR(__xludf.DUMMYFUNCTION("""COMPUTED_VALUE"""),"unfccc_annex_1")</f>
        <v>unfccc_annex_1</v>
      </c>
      <c r="D51" s="9" t="str">
        <f>IFERROR(__xludf.DUMMYFUNCTION("""COMPUTED_VALUE"""),"1.A.2.a  Iron and Steel")</f>
        <v>1.A.2.a  Iron and Steel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IFERROR(__xludf.DUMMYFUNCTION("""COMPUTED_VALUE"""),"pulp-and-paper")</f>
        <v>pulp-and-paper</v>
      </c>
      <c r="C52" s="9" t="str">
        <f>IFERROR(__xludf.DUMMYFUNCTION("""COMPUTED_VALUE"""),"unfccc_annex_1")</f>
        <v>unfccc_annex_1</v>
      </c>
      <c r="D52" s="9" t="str">
        <f>IFERROR(__xludf.DUMMYFUNCTION("""COMPUTED_VALUE"""),"1.A.2.b  Non-Ferrous Metals")</f>
        <v>1.A.2.b  Non-Ferrous Metals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IFERROR(__xludf.DUMMYFUNCTION("""COMPUTED_VALUE"""),"pulp-and-paper")</f>
        <v>pulp-and-paper</v>
      </c>
      <c r="C53" s="9" t="str">
        <f>IFERROR(__xludf.DUMMYFUNCTION("""COMPUTED_VALUE"""),"unfccc_annex_1")</f>
        <v>unfccc_annex_1</v>
      </c>
      <c r="D53" s="9" t="str">
        <f>IFERROR(__xludf.DUMMYFUNCTION("""COMPUTED_VALUE"""),"1.A.2.c  Chemicals")</f>
        <v>1.A.2.c  Chemicals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IFERROR(__xludf.DUMMYFUNCTION("""COMPUTED_VALUE"""),"pulp-and-paper")</f>
        <v>pulp-and-paper</v>
      </c>
      <c r="C54" s="9" t="str">
        <f>IFERROR(__xludf.DUMMYFUNCTION("""COMPUTED_VALUE"""),"unfccc_annex_1")</f>
        <v>unfccc_annex_1</v>
      </c>
      <c r="D54" s="9" t="str">
        <f>IFERROR(__xludf.DUMMYFUNCTION("""COMPUTED_VALUE"""),"1.A.2.e  Food Processing, Beverages and Tobacco")</f>
        <v>1.A.2.e  Food Processing, Beverages and Tobacco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IFERROR(__xludf.DUMMYFUNCTION("""COMPUTED_VALUE"""),"pulp-and-paper")</f>
        <v>pulp-and-paper</v>
      </c>
      <c r="C55" s="9" t="str">
        <f>IFERROR(__xludf.DUMMYFUNCTION("""COMPUTED_VALUE"""),"unfccc_annex_1")</f>
        <v>unfccc_annex_1</v>
      </c>
      <c r="D55" s="9" t="str">
        <f>IFERROR(__xludf.DUMMYFUNCTION("""COMPUTED_VALUE"""),"1.A.2.f  Non-metallic Minerals")</f>
        <v>1.A.2.f  Non-metallic Minerals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IFERROR(__xludf.DUMMYFUNCTION("""COMPUTED_VALUE"""),"pulp-and-paper")</f>
        <v>pulp-and-paper</v>
      </c>
      <c r="C56" s="9" t="str">
        <f>IFERROR(__xludf.DUMMYFUNCTION("""COMPUTED_VALUE"""),"unfccc_annex_1")</f>
        <v>unfccc_annex_1</v>
      </c>
      <c r="D56" s="9" t="str">
        <f>IFERROR(__xludf.DUMMYFUNCTION("""COMPUTED_VALUE"""),"1.A.2.g  Other")</f>
        <v>1.A.2.g  Other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/>
      <c r="D57" s="9"/>
      <c r="E57" s="9"/>
    </row>
    <row r="58">
      <c r="A58" s="9" t="b">
        <f>IFERROR(__xludf.DUMMYFUNCTION("""COMPUTED_VALUE"""),TRUE)</f>
        <v>1</v>
      </c>
      <c r="B58" s="9" t="str">
        <f>IFERROR(__xludf.DUMMYFUNCTION("""COMPUTED_VALUE"""),"enteric-fermentation-cattle-feedlot")</f>
        <v>enteric-fermentation-cattle-feedlot</v>
      </c>
      <c r="C58" s="9" t="str">
        <f>IFERROR(__xludf.DUMMYFUNCTION("""COMPUTED_VALUE"""),"edgar")</f>
        <v>edgar</v>
      </c>
      <c r="D58" s="9" t="str">
        <f>IFERROR(__xludf.DUMMYFUNCTION("""COMPUTED_VALUE"""),"3.A.1 Enteric Fermentation")</f>
        <v>3.A.1 Enteric Fermentation</v>
      </c>
      <c r="E58" s="9">
        <f>IFERROR(__xludf.DUMMYFUNCTION("""COMPUTED_VALUE"""),1.0)</f>
        <v>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IFERROR(__xludf.DUMMYFUNCTION("""COMPUTED_VALUE"""),"enteric-fermentation-cattle-feedlot")</f>
        <v>enteric-fermentation-cattle-feedlot</v>
      </c>
      <c r="C59" s="9" t="str">
        <f>IFERROR(__xludf.DUMMYFUNCTION("""COMPUTED_VALUE"""),"climate-trace")</f>
        <v>climate-trace</v>
      </c>
      <c r="D59" s="9" t="str">
        <f>IFERROR(__xludf.DUMMYFUNCTION("""COMPUTED_VALUE"""),"enteric-fermentation-cattle-pasture")</f>
        <v>enteric-fermentation-cattle-pasture</v>
      </c>
      <c r="E59" s="9">
        <f>IFERROR(__xludf.DUMMYFUNCTION("""COMPUTED_VALUE"""),-1.0)</f>
        <v>-1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IFERROR(__xludf.DUMMYFUNCTION("""COMPUTED_VALUE"""),"enteric-fermentation-cattle-feedlot")</f>
        <v>enteric-fermentation-cattle-feedlot</v>
      </c>
      <c r="C60" s="9" t="str">
        <f>IFERROR(__xludf.DUMMYFUNCTION("""COMPUTED_VALUE"""),"climate-trace")</f>
        <v>climate-trace</v>
      </c>
      <c r="D60" s="9" t="str">
        <f>IFERROR(__xludf.DUMMYFUNCTION("""COMPUTED_VALUE"""),"enteric-fermentation-other")</f>
        <v>enteric-fermentation-other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IFERROR(__xludf.DUMMYFUNCTION("""COMPUTED_VALUE"""),"manure-left-on-pasture-cattle")</f>
        <v>manure-left-on-pasture-cattle</v>
      </c>
      <c r="C61" s="9" t="str">
        <f>IFERROR(__xludf.DUMMYFUNCTION("""COMPUTED_VALUE"""),"edgar")</f>
        <v>edgar</v>
      </c>
      <c r="D61" s="9" t="str">
        <f>IFERROR(__xludf.DUMMYFUNCTION("""COMPUTED_VALUE"""),"3.A.2 Manure Management")</f>
        <v>3.A.2 Manure Management</v>
      </c>
      <c r="E61" s="9">
        <f>IFERROR(__xludf.DUMMYFUNCTION("""COMPUTED_VALUE"""),1.0)</f>
        <v>1</v>
      </c>
    </row>
    <row r="62">
      <c r="A62" s="9" t="b">
        <f>IFERROR(__xludf.DUMMYFUNCTION("""COMPUTED_VALUE"""),TRUE)</f>
        <v>1</v>
      </c>
      <c r="B62" s="9" t="str">
        <f>IFERROR(__xludf.DUMMYFUNCTION("""COMPUTED_VALUE"""),"manure-left-on-pasture-cattle")</f>
        <v>manure-left-on-pasture-cattle</v>
      </c>
      <c r="C62" s="9" t="str">
        <f>IFERROR(__xludf.DUMMYFUNCTION("""COMPUTED_VALUE"""),"climate-trace")</f>
        <v>climate-trace</v>
      </c>
      <c r="D62" s="9" t="str">
        <f>IFERROR(__xludf.DUMMYFUNCTION("""COMPUTED_VALUE"""),"manure-management-cattle-feedlot")</f>
        <v>manure-management-cattle-feedlot</v>
      </c>
      <c r="E62" s="9">
        <f>IFERROR(__xludf.DUMMYFUNCTION("""COMPUTED_VALUE"""),-1.0)</f>
        <v>-1</v>
      </c>
    </row>
    <row r="63">
      <c r="A63" s="9" t="b">
        <f>IFERROR(__xludf.DUMMYFUNCTION("""COMPUTED_VALUE"""),TRUE)</f>
        <v>1</v>
      </c>
      <c r="B63" s="9" t="str">
        <f>IFERROR(__xludf.DUMMYFUNCTION("""COMPUTED_VALUE"""),"manure-left-on-pasture-cattle")</f>
        <v>manure-left-on-pasture-cattle</v>
      </c>
      <c r="C63" s="9" t="str">
        <f>IFERROR(__xludf.DUMMYFUNCTION("""COMPUTED_VALUE"""),"climate-trace")</f>
        <v>climate-trace</v>
      </c>
      <c r="D63" s="9" t="str">
        <f>IFERROR(__xludf.DUMMYFUNCTION("""COMPUTED_VALUE"""),"manure-management-other")</f>
        <v>manure-management-other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IFERROR(__xludf.DUMMYFUNCTION("""COMPUTED_VALUE"""),"manure-management-cattle-feedlot")</f>
        <v>manure-management-cattle-feedlot</v>
      </c>
      <c r="C64" s="9" t="str">
        <f>IFERROR(__xludf.DUMMYFUNCTION("""COMPUTED_VALUE"""),"edgar")</f>
        <v>edgar</v>
      </c>
      <c r="D64" s="9" t="str">
        <f>IFERROR(__xludf.DUMMYFUNCTION("""COMPUTED_VALUE"""),"3.A.2 Manure Management")</f>
        <v>3.A.2 Manure Management</v>
      </c>
      <c r="E64" s="9">
        <f>IFERROR(__xludf.DUMMYFUNCTION("""COMPUTED_VALUE"""),1.0)</f>
        <v>1</v>
      </c>
    </row>
    <row r="65">
      <c r="A65" s="9" t="b">
        <f>IFERROR(__xludf.DUMMYFUNCTION("""COMPUTED_VALUE"""),TRUE)</f>
        <v>1</v>
      </c>
      <c r="B65" s="9" t="str">
        <f>IFERROR(__xludf.DUMMYFUNCTION("""COMPUTED_VALUE"""),"manure-management-cattle-feedlot")</f>
        <v>manure-management-cattle-feedlot</v>
      </c>
      <c r="C65" s="9" t="str">
        <f>IFERROR(__xludf.DUMMYFUNCTION("""COMPUTED_VALUE"""),"climate-trace")</f>
        <v>climate-trace</v>
      </c>
      <c r="D65" s="9" t="str">
        <f>IFERROR(__xludf.DUMMYFUNCTION("""COMPUTED_VALUE"""),"manure-left-on-pasture-cattle")</f>
        <v>manure-left-on-pasture-cattle</v>
      </c>
      <c r="E65" s="9">
        <f>IFERROR(__xludf.DUMMYFUNCTION("""COMPUTED_VALUE"""),-1.0)</f>
        <v>-1</v>
      </c>
    </row>
    <row r="66">
      <c r="A66" s="9" t="b">
        <f>IFERROR(__xludf.DUMMYFUNCTION("""COMPUTED_VALUE"""),TRUE)</f>
        <v>1</v>
      </c>
      <c r="B66" s="9" t="str">
        <f>IFERROR(__xludf.DUMMYFUNCTION("""COMPUTED_VALUE"""),"manure-management-cattle-feedlot")</f>
        <v>manure-management-cattle-feedlot</v>
      </c>
      <c r="C66" s="9" t="str">
        <f>IFERROR(__xludf.DUMMYFUNCTION("""COMPUTED_VALUE"""),"climate-trace")</f>
        <v>climate-trace</v>
      </c>
      <c r="D66" s="9" t="str">
        <f>IFERROR(__xludf.DUMMYFUNCTION("""COMPUTED_VALUE"""),"manure-management-other")</f>
        <v>manure-management-other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IFERROR(__xludf.DUMMYFUNCTION("""COMPUTED_VALUE"""),"edgar")</f>
        <v>edgar</v>
      </c>
      <c r="D67" s="9" t="str">
        <f>IFERROR(__xludf.DUMMYFUNCTION("""COMPUTED_VALUE"""),"3.A.1 Enteric Fermentation")</f>
        <v>3.A.1 Enteric Fermentation</v>
      </c>
      <c r="E67" s="9">
        <f>IFERROR(__xludf.DUMMYFUNCTION("""COMPUTED_VALUE"""),1.0)</f>
        <v>1</v>
      </c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IFERROR(__xludf.DUMMYFUNCTION("""COMPUTED_VALUE"""),"climate-trace")</f>
        <v>climate-trace</v>
      </c>
      <c r="D68" s="9" t="str">
        <f>IFERROR(__xludf.DUMMYFUNCTION("""COMPUTED_VALUE"""),"enteric-fermentation-cattle-feedlot")</f>
        <v>enteric-fermentation-cattle-feedlot</v>
      </c>
      <c r="E68" s="9">
        <f>IFERROR(__xludf.DUMMYFUNCTION("""COMPUTED_VALUE"""),-1.0)</f>
        <v>-1</v>
      </c>
    </row>
    <row r="69">
      <c r="A69" s="9" t="b">
        <f>IFERROR(__xludf.DUMMYFUNCTION("""COMPUTED_VALUE"""),TRUE)</f>
        <v>1</v>
      </c>
      <c r="B69" s="9" t="str">
        <f>IFERROR(__xludf.DUMMYFUNCTION("""COMPUTED_VALUE"""),"enteric-fermentation-other")</f>
        <v>enteric-fermentation-other</v>
      </c>
      <c r="C69" s="9" t="str">
        <f>IFERROR(__xludf.DUMMYFUNCTION("""COMPUTED_VALUE"""),"climate-trace")</f>
        <v>climate-trace</v>
      </c>
      <c r="D69" s="9" t="str">
        <f>IFERROR(__xludf.DUMMYFUNCTION("""COMPUTED_VALUE"""),"enteric-fermentation-cattle-pasture")</f>
        <v>enteric-fermentation-cattle-pasture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IFERROR(__xludf.DUMMYFUNCTION("""COMPUTED_VALUE"""),"edgar")</f>
        <v>edgar</v>
      </c>
      <c r="D70" s="9" t="str">
        <f>IFERROR(__xludf.DUMMYFUNCTION("""COMPUTED_VALUE"""),"3.A.2 Manure Management")</f>
        <v>3.A.2 Manure Management</v>
      </c>
      <c r="E70" s="9">
        <f>IFERROR(__xludf.DUMMYFUNCTION("""COMPUTED_VALUE"""),1.0)</f>
        <v>1</v>
      </c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IFERROR(__xludf.DUMMYFUNCTION("""COMPUTED_VALUE"""),"climate-trace")</f>
        <v>climate-trace</v>
      </c>
      <c r="D71" s="9" t="str">
        <f>IFERROR(__xludf.DUMMYFUNCTION("""COMPUTED_VALUE"""),"manure-left-on-pasture-cattle")</f>
        <v>manure-left-on-pasture-cattle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IFERROR(__xludf.DUMMYFUNCTION("""COMPUTED_VALUE"""),"climate-trace")</f>
        <v>climate-trace</v>
      </c>
      <c r="D72" s="9" t="str">
        <f>IFERROR(__xludf.DUMMYFUNCTION("""COMPUTED_VALUE"""),"manure-management-cattle-feedlot")</f>
        <v>manure-management-cattle-feedlot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IFERROR(__xludf.DUMMYFUNCTION("""COMPUTED_VALUE"""),"enteric-fermentation-cattle-pasture")</f>
        <v>enteric-fermentation-cattle-pasture</v>
      </c>
      <c r="C73" s="9" t="str">
        <f>IFERROR(__xludf.DUMMYFUNCTION("""COMPUTED_VALUE"""),"edgar")</f>
        <v>edgar</v>
      </c>
      <c r="D73" s="9" t="str">
        <f>IFERROR(__xludf.DUMMYFUNCTION("""COMPUTED_VALUE"""),"3.A.1 Enteric Fermentation")</f>
        <v>3.A.1 Enteric Fermentation</v>
      </c>
      <c r="E73" s="9">
        <f>IFERROR(__xludf.DUMMYFUNCTION("""COMPUTED_VALUE"""),1.0)</f>
        <v>1</v>
      </c>
    </row>
    <row r="74">
      <c r="A74" s="9" t="b">
        <f>IFERROR(__xludf.DUMMYFUNCTION("""COMPUTED_VALUE"""),TRUE)</f>
        <v>1</v>
      </c>
      <c r="B74" s="9" t="str">
        <f>IFERROR(__xludf.DUMMYFUNCTION("""COMPUTED_VALUE"""),"enteric-fermentation-cattle-pasture")</f>
        <v>enteric-fermentation-cattle-pasture</v>
      </c>
      <c r="C74" s="9" t="str">
        <f>IFERROR(__xludf.DUMMYFUNCTION("""COMPUTED_VALUE"""),"climate-trace")</f>
        <v>climate-trace</v>
      </c>
      <c r="D74" s="9" t="str">
        <f>IFERROR(__xludf.DUMMYFUNCTION("""COMPUTED_VALUE"""),"enteric-fermentation-cattle-feedlot")</f>
        <v>enteric-fermentation-cattle-feedlot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IFERROR(__xludf.DUMMYFUNCTION("""COMPUTED_VALUE"""),"enteric-fermentation-cattle-pasture")</f>
        <v>enteric-fermentation-cattle-pasture</v>
      </c>
      <c r="C75" s="9" t="str">
        <f>IFERROR(__xludf.DUMMYFUNCTION("""COMPUTED_VALUE"""),"climate-trace")</f>
        <v>climate-trace</v>
      </c>
      <c r="D75" s="9" t="str">
        <f>IFERROR(__xludf.DUMMYFUNCTION("""COMPUTED_VALUE"""),"enteric-fermentation-other")</f>
        <v>enteric-fermentation-other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IFERROR(__xludf.DUMMYFUNCTION("""COMPUTED_VALUE"""),"rice-cultivation")</f>
        <v>rice-cultivation</v>
      </c>
      <c r="C76" s="9" t="str">
        <f>IFERROR(__xludf.DUMMYFUNCTION("""COMPUTED_VALUE"""),"edgar")</f>
        <v>edgar</v>
      </c>
      <c r="D76" s="9" t="str">
        <f>IFERROR(__xludf.DUMMYFUNCTION("""COMPUTED_VALUE"""),"3.C.7 Rice cultivations")</f>
        <v>3.C.7 Rice cultivations</v>
      </c>
      <c r="E76" s="9">
        <f>IFERROR(__xludf.DUMMYFUNCTION("""COMPUTED_VALUE"""),1.0)</f>
        <v>1</v>
      </c>
    </row>
    <row r="77">
      <c r="A77" s="9" t="b">
        <f>IFERROR(__xludf.DUMMYFUNCTION("""COMPUTED_VALUE"""),TRUE)</f>
        <v>1</v>
      </c>
      <c r="B77" s="9" t="str">
        <f>IFERROR(__xludf.DUMMYFUNCTION("""COMPUTED_VALUE"""),"synthetic-fertilizer-application")</f>
        <v>synthetic-fertilizer-application</v>
      </c>
      <c r="C77" s="9" t="str">
        <f>IFERROR(__xludf.DUMMYFUNCTION("""COMPUTED_VALUE"""),"edgar")</f>
        <v>edgar</v>
      </c>
      <c r="D77" s="9" t="str">
        <f>IFERROR(__xludf.DUMMYFUNCTION("""COMPUTED_VALUE"""),"3.C.4 Direct N2O Emissions from managed soils")</f>
        <v>3.C.4 Direct N2O Emissions from managed soils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 t="str">
        <f>IFERROR(__xludf.DUMMYFUNCTION("""COMPUTED_VALUE"""),"edgar")</f>
        <v>edgar</v>
      </c>
      <c r="D88" s="9" t="str">
        <f>IFERROR(__xludf.DUMMYFUNCTION("""COMPUTED_VALUE"""),"1.A.1.a Main Activity Electricity and Heat Production")</f>
        <v>1.A.1.a Main Activity Electricity and Heat Production</v>
      </c>
      <c r="E88" s="9">
        <f>IFERROR(__xludf.DUMMYFUNCTION("""COMPUTED_VALUE"""),1.0)</f>
        <v>1</v>
      </c>
    </row>
    <row r="89">
      <c r="A89" s="9" t="b">
        <f>IFERROR(__xludf.DUMMYFUNCTION("""COMPUTED_VALUE"""),FALSE)</f>
        <v>0</v>
      </c>
      <c r="B89" s="9" t="str">
        <f>IFERROR(__xludf.DUMMYFUNCTION("""COMPUTED_VALUE"""),"electricity-generation")</f>
        <v>electricity-generation</v>
      </c>
      <c r="C89" s="9" t="str">
        <f>IFERROR(__xludf.DUMMYFUNCTION("""COMPUTED_VALUE"""),"unfccc_non_annex_1")</f>
        <v>unfccc_non_annex_1</v>
      </c>
      <c r="D89" s="9" t="str">
        <f>IFERROR(__xludf.DUMMYFUNCTION("""COMPUTED_VALUE"""),"1.A.1.a.iii  Heat Plants")</f>
        <v>1.A.1.a.iii  Heat Plants</v>
      </c>
      <c r="E89" s="9">
        <f>IFERROR(__xludf.DUMMYFUNCTION("""COMPUTED_VALUE"""),-1.0)</f>
        <v>-1</v>
      </c>
    </row>
    <row r="90">
      <c r="A90" s="9" t="b">
        <f>IFERROR(__xludf.DUMMYFUNCTION("""COMPUTED_VALUE"""),FALSE)</f>
        <v>0</v>
      </c>
      <c r="B90" s="9" t="str">
        <f>IFERROR(__xludf.DUMMYFUNCTION("""COMPUTED_VALUE"""),"electricity-generation")</f>
        <v>electricity-generation</v>
      </c>
      <c r="C90" s="9" t="str">
        <f>IFERROR(__xludf.DUMMYFUNCTION("""COMPUTED_VALUE"""),"unfccc_non_annex_1")</f>
        <v>unfccc_non_annex_1</v>
      </c>
      <c r="D90" s="9" t="str">
        <f>IFERROR(__xludf.DUMMYFUNCTION("""COMPUTED_VALUE"""),"1.A.1.a.iv  Other")</f>
        <v>1.A.1.a.iv  Other</v>
      </c>
      <c r="E90" s="9">
        <f>IFERROR(__xludf.DUMMYFUNCTION("""COMPUTED_VALUE"""),-1.0)</f>
        <v>-1</v>
      </c>
    </row>
    <row r="91">
      <c r="A91" s="9" t="b">
        <f>IFERROR(__xludf.DUMMYFUNCTION("""COMPUTED_VALUE"""),FALSE)</f>
        <v>0</v>
      </c>
      <c r="B91" s="9" t="str">
        <f>IFERROR(__xludf.DUMMYFUNCTION("""COMPUTED_VALUE"""),"domestic-aviation")</f>
        <v>domestic-aviation</v>
      </c>
      <c r="C91" s="9" t="str">
        <f>IFERROR(__xludf.DUMMYFUNCTION("""COMPUTED_VALUE"""),"edgar")</f>
        <v>edgar</v>
      </c>
      <c r="D91" s="9" t="str">
        <f>IFERROR(__xludf.DUMMYFUNCTION("""COMPUTED_VALUE"""),"1.A.3.a Civil Aviation")</f>
        <v>1.A.3.a Civil Aviation</v>
      </c>
      <c r="E91" s="9">
        <f>IFERROR(__xludf.DUMMYFUNCTION("""COMPUTED_VALUE"""),1.0)</f>
        <v>1</v>
      </c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 t="str">
        <f>IFERROR(__xludf.DUMMYFUNCTION("""COMPUTED_VALUE"""),"edgar")</f>
        <v>edgar</v>
      </c>
      <c r="D92" s="9" t="str">
        <f>IFERROR(__xludf.DUMMYFUNCTION("""COMPUTED_VALUE"""),"1.A.3.d Water-borne Navigation")</f>
        <v>1.A.3.d Water-borne Navigation</v>
      </c>
      <c r="E92" s="9">
        <f>IFERROR(__xludf.DUMMYFUNCTION("""COMPUTED_VALUE"""),1.0)</f>
        <v>1</v>
      </c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 t="str">
        <f>IFERROR(__xludf.DUMMYFUNCTION("""COMPUTED_VALUE"""),"edgar")</f>
        <v>edgar</v>
      </c>
      <c r="D93" s="9" t="str">
        <f>IFERROR(__xludf.DUMMYFUNCTION("""COMPUTED_VALUE"""),"1.B.1 Solid Fuels")</f>
        <v>1.B.1 Solid Fuels</v>
      </c>
      <c r="E93" s="9">
        <f>IFERROR(__xludf.DUMMYFUNCTION("""COMPUTED_VALUE"""),1.0)</f>
        <v>1</v>
      </c>
    </row>
    <row r="94">
      <c r="A94" s="9" t="b">
        <f>IFERROR(__xludf.DUMMYFUNCTION("""COMPUTED_VALUE"""),FALSE)</f>
        <v>0</v>
      </c>
      <c r="B94" s="9" t="str">
        <f>IFERROR(__xludf.DUMMYFUNCTION("""COMPUTED_VALUE"""),"coal-mining")</f>
        <v>coal-mining</v>
      </c>
      <c r="C94" s="9" t="str">
        <f>IFERROR(__xludf.DUMMYFUNCTION("""COMPUTED_VALUE"""),"unfccc_non_annex_1")</f>
        <v>unfccc_non_annex_1</v>
      </c>
      <c r="D94" s="9" t="str">
        <f>IFERROR(__xludf.DUMMYFUNCTION("""COMPUTED_VALUE"""),"1.B.1.b  Solid Fuel Transformation")</f>
        <v>1.B.1.b  Solid Fuel Transformation</v>
      </c>
      <c r="E94" s="9">
        <f>IFERROR(__xludf.DUMMYFUNCTION("""COMPUTED_VALUE"""),-1.0)</f>
        <v>-1</v>
      </c>
    </row>
    <row r="95">
      <c r="A95" s="9" t="b">
        <f>IFERROR(__xludf.DUMMYFUNCTION("""COMPUTED_VALUE"""),FALSE)</f>
        <v>0</v>
      </c>
      <c r="B95" s="9" t="str">
        <f>IFERROR(__xludf.DUMMYFUNCTION("""COMPUTED_VALUE"""),"coal-mining")</f>
        <v>coal-mining</v>
      </c>
      <c r="C95" s="9" t="str">
        <f>IFERROR(__xludf.DUMMYFUNCTION("""COMPUTED_VALUE"""),"unfccc_non_annex_1")</f>
        <v>unfccc_non_annex_1</v>
      </c>
      <c r="D95" s="9" t="str">
        <f>IFERROR(__xludf.DUMMYFUNCTION("""COMPUTED_VALUE"""),"1.B.1.c  Other")</f>
        <v>1.B.1.c  Other</v>
      </c>
      <c r="E95" s="9">
        <f>IFERROR(__xludf.DUMMYFUNCTION("""COMPUTED_VALUE"""),-1.0)</f>
        <v>-1</v>
      </c>
    </row>
    <row r="96">
      <c r="A96" s="9" t="b">
        <f>IFERROR(__xludf.DUMMYFUNCTION("""COMPUTED_VALUE"""),FALSE)</f>
        <v>0</v>
      </c>
      <c r="B96" s="9" t="str">
        <f>IFERROR(__xludf.DUMMYFUNCTION("""COMPUTED_VALUE"""),"oil-and-gas-production-and-transport")</f>
        <v>oil-and-gas-production-and-transport</v>
      </c>
      <c r="C96" s="9" t="str">
        <f>IFERROR(__xludf.DUMMYFUNCTION("""COMPUTED_VALUE"""),"edgar")</f>
        <v>edgar</v>
      </c>
      <c r="D96" s="9" t="str">
        <f>IFERROR(__xludf.DUMMYFUNCTION("""COMPUTED_VALUE"""),"1.B.2 Oil and Natural Gas")</f>
        <v>1.B.2 Oil and Natural Gas</v>
      </c>
      <c r="E96" s="9">
        <f>IFERROR(__xludf.DUMMYFUNCTION("""COMPUTED_VALUE"""),1.0)</f>
        <v>1</v>
      </c>
    </row>
    <row r="97">
      <c r="A97" s="9" t="b">
        <f>IFERROR(__xludf.DUMMYFUNCTION("""COMPUTED_VALUE"""),FALSE)</f>
        <v>0</v>
      </c>
      <c r="B97" s="9" t="str">
        <f>IFERROR(__xludf.DUMMYFUNCTION("""COMPUTED_VALUE"""),"oil-and-gas-production-and-transport")</f>
        <v>oil-and-gas-production-and-transport</v>
      </c>
      <c r="C97" s="9" t="str">
        <f>IFERROR(__xludf.DUMMYFUNCTION("""COMPUTED_VALUE"""),"unfccc_non_annex_1")</f>
        <v>unfccc_non_annex_1</v>
      </c>
      <c r="D97" s="9" t="str">
        <f>IFERROR(__xludf.DUMMYFUNCTION("""COMPUTED_VALUE"""),"1.B.2.a.v  Distribution of Oil Products ")</f>
        <v>1.B.2.a.v  Distribution of Oil Products </v>
      </c>
      <c r="E97" s="9">
        <f>IFERROR(__xludf.DUMMYFUNCTION("""COMPUTED_VALUE"""),-1.0)</f>
        <v>-1</v>
      </c>
    </row>
    <row r="98">
      <c r="A98" s="9" t="b">
        <f>IFERROR(__xludf.DUMMYFUNCTION("""COMPUTED_VALUE"""),FALSE)</f>
        <v>0</v>
      </c>
      <c r="B98" s="9" t="str">
        <f>IFERROR(__xludf.DUMMYFUNCTION("""COMPUTED_VALUE"""),"oil-and-gas-production-and-transport")</f>
        <v>oil-and-gas-production-and-transport</v>
      </c>
      <c r="C98" s="9" t="str">
        <f>IFERROR(__xludf.DUMMYFUNCTION("""COMPUTED_VALUE"""),"unfccc_non_annex_1")</f>
        <v>unfccc_non_annex_1</v>
      </c>
      <c r="D98" s="9" t="str">
        <f>IFERROR(__xludf.DUMMYFUNCTION("""COMPUTED_VALUE"""),"1.B.2.a.vi  Other")</f>
        <v>1.B.2.a.vi  Other</v>
      </c>
      <c r="E98" s="9">
        <f>IFERROR(__xludf.DUMMYFUNCTION("""COMPUTED_VALUE"""),-1.0)</f>
        <v>-1</v>
      </c>
    </row>
    <row r="99">
      <c r="A99" s="9" t="b">
        <f>IFERROR(__xludf.DUMMYFUNCTION("""COMPUTED_VALUE"""),FALSE)</f>
        <v>0</v>
      </c>
      <c r="B99" s="9" t="str">
        <f>IFERROR(__xludf.DUMMYFUNCTION("""COMPUTED_VALUE"""),"oil-and-gas-production-and-transport")</f>
        <v>oil-and-gas-production-and-transport</v>
      </c>
      <c r="C99" s="9" t="str">
        <f>IFERROR(__xludf.DUMMYFUNCTION("""COMPUTED_VALUE"""),"unfccc_non_annex_1")</f>
        <v>unfccc_non_annex_1</v>
      </c>
      <c r="D99" s="9" t="str">
        <f>IFERROR(__xludf.DUMMYFUNCTION("""COMPUTED_VALUE"""),"1.B.2.b.v  Distribution")</f>
        <v>1.B.2.b.v  Distribution</v>
      </c>
      <c r="E99" s="9">
        <f>IFERROR(__xludf.DUMMYFUNCTION("""COMPUTED_VALUE"""),-1.0)</f>
        <v>-1</v>
      </c>
    </row>
    <row r="100">
      <c r="A100" s="9" t="b">
        <f>IFERROR(__xludf.DUMMYFUNCTION("""COMPUTED_VALUE"""),FALSE)</f>
        <v>0</v>
      </c>
      <c r="B100" s="9" t="str">
        <f>IFERROR(__xludf.DUMMYFUNCTION("""COMPUTED_VALUE"""),"oil-and-gas-production-and-transport")</f>
        <v>oil-and-gas-production-and-transport</v>
      </c>
      <c r="C100" s="9" t="str">
        <f>IFERROR(__xludf.DUMMYFUNCTION("""COMPUTED_VALUE"""),"unfccc_non_annex_1")</f>
        <v>unfccc_non_annex_1</v>
      </c>
      <c r="D100" s="9" t="str">
        <f>IFERROR(__xludf.DUMMYFUNCTION("""COMPUTED_VALUE"""),"1.B.2.b.vi  Other")</f>
        <v>1.B.2.b.vi  Other</v>
      </c>
      <c r="E100" s="9">
        <f>IFERROR(__xludf.DUMMYFUNCTION("""COMPUTED_VALUE"""),-1.0)</f>
        <v>-1</v>
      </c>
    </row>
    <row r="101">
      <c r="A101" s="9" t="b">
        <f>IFERROR(__xludf.DUMMYFUNCTION("""COMPUTED_VALUE"""),FALSE)</f>
        <v>0</v>
      </c>
      <c r="B101" s="9" t="str">
        <f>IFERROR(__xludf.DUMMYFUNCTION("""COMPUTED_VALUE"""),"oil-and-gas-production-and-transport")</f>
        <v>oil-and-gas-production-and-transport</v>
      </c>
      <c r="C101" s="9" t="str">
        <f>IFERROR(__xludf.DUMMYFUNCTION("""COMPUTED_VALUE"""),"unfccc_non_annex_1")</f>
        <v>unfccc_non_annex_1</v>
      </c>
      <c r="D101" s="9" t="str">
        <f>IFERROR(__xludf.DUMMYFUNCTION("""COMPUTED_VALUE"""),"1.B.2.d  Other")</f>
        <v>1.B.2.d  Other</v>
      </c>
      <c r="E101" s="9">
        <f>IFERROR(__xludf.DUMMYFUNCTION("""COMPUTED_VALUE"""),-1.0)</f>
        <v>-1</v>
      </c>
    </row>
    <row r="102">
      <c r="A102" s="9" t="b">
        <f>IFERROR(__xludf.DUMMYFUNCTION("""COMPUTED_VALUE"""),FALSE)</f>
        <v>0</v>
      </c>
      <c r="B102" s="9" t="str">
        <f>IFERROR(__xludf.DUMMYFUNCTION("""COMPUTED_VALUE"""),"oil-and-gas-production-and-transport")</f>
        <v>oil-and-gas-production-and-transport</v>
      </c>
      <c r="C102" s="9" t="str">
        <f>IFERROR(__xludf.DUMMYFUNCTION("""COMPUTED_VALUE"""),"unfccc_non_annex_1")</f>
        <v>unfccc_non_annex_1</v>
      </c>
      <c r="D102" s="9" t="str">
        <f>IFERROR(__xludf.DUMMYFUNCTION("""COMPUTED_VALUE"""),"1.A.1.c.ii  Oil and Gas Extraction")</f>
        <v>1.A.1.c.ii  Oil and Gas Extraction</v>
      </c>
      <c r="E102" s="9">
        <f>IFERROR(__xludf.DUMMYFUNCTION("""COMPUTED_VALUE"""),-1.0)</f>
        <v>-1</v>
      </c>
    </row>
    <row r="103">
      <c r="A103" s="9" t="b">
        <f>IFERROR(__xludf.DUMMYFUNCTION("""COMPUTED_VALUE"""),FALSE)</f>
        <v>0</v>
      </c>
      <c r="B103" s="9" t="str">
        <f>IFERROR(__xludf.DUMMYFUNCTION("""COMPUTED_VALUE"""),"oil-and-gas-refining")</f>
        <v>oil-and-gas-refining</v>
      </c>
      <c r="C103" s="9" t="str">
        <f>IFERROR(__xludf.DUMMYFUNCTION("""COMPUTED_VALUE"""),"edgar")</f>
        <v>edgar</v>
      </c>
      <c r="D103" s="9" t="str">
        <f>IFERROR(__xludf.DUMMYFUNCTION("""COMPUTED_VALUE"""),"1.A.1.bc Petroleum Refining - Manufacture of Solid Fuels and Other Energy Industries")</f>
        <v>1.A.1.bc Petroleum Refining - Manufacture of Solid Fuels and Other Energy Industries</v>
      </c>
      <c r="E103" s="9">
        <f>IFERROR(__xludf.DUMMYFUNCTION("""COMPUTED_VALUE"""),1.0)</f>
        <v>1</v>
      </c>
    </row>
    <row r="104">
      <c r="A104" s="9" t="b">
        <f>IFERROR(__xludf.DUMMYFUNCTION("""COMPUTED_VALUE"""),FALSE)</f>
        <v>0</v>
      </c>
      <c r="B104" s="9" t="str">
        <f>IFERROR(__xludf.DUMMYFUNCTION("""COMPUTED_VALUE"""),"oil-and-gas-refining")</f>
        <v>oil-and-gas-refining</v>
      </c>
      <c r="C104" s="9" t="str">
        <f>IFERROR(__xludf.DUMMYFUNCTION("""COMPUTED_VALUE"""),"unfccc_non_annex_1")</f>
        <v>unfccc_non_annex_1</v>
      </c>
      <c r="D104" s="9" t="str">
        <f>IFERROR(__xludf.DUMMYFUNCTION("""COMPUTED_VALUE"""),"1.A.1.c.  Manufacture of Solid Fuels and Other Energy Industries")</f>
        <v>1.A.1.c.  Manufacture of Solid Fuels and Other Energy Industries</v>
      </c>
      <c r="E104" s="9">
        <f>IFERROR(__xludf.DUMMYFUNCTION("""COMPUTED_VALUE"""),-1.0)</f>
        <v>-1</v>
      </c>
    </row>
    <row r="105">
      <c r="A105" s="9" t="b">
        <f>IFERROR(__xludf.DUMMYFUNCTION("""COMPUTED_VALUE"""),FALSE)</f>
        <v>0</v>
      </c>
      <c r="B105" s="9" t="str">
        <f>IFERROR(__xludf.DUMMYFUNCTION("""COMPUTED_VALUE"""),"petrochemicals")</f>
        <v>petrochemicals</v>
      </c>
      <c r="C105" s="9"/>
      <c r="D105" s="9"/>
      <c r="E105" s="9"/>
    </row>
    <row r="106">
      <c r="A106" s="9" t="b">
        <f>IFERROR(__xludf.DUMMYFUNCTION("""COMPUTED_VALUE"""),FALSE)</f>
        <v>0</v>
      </c>
      <c r="B106" s="9" t="str">
        <f>IFERROR(__xludf.DUMMYFUNCTION("""COMPUTED_VALUE"""),"cement")</f>
        <v>cement</v>
      </c>
      <c r="C106" s="9" t="str">
        <f>IFERROR(__xludf.DUMMYFUNCTION("""COMPUTED_VALUE"""),"edgar")</f>
        <v>edgar</v>
      </c>
      <c r="D106" s="9" t="str">
        <f>IFERROR(__xludf.DUMMYFUNCTION("""COMPUTED_VALUE"""),"2.A.1 Cement production")</f>
        <v>2.A.1 Cement production</v>
      </c>
      <c r="E106" s="9">
        <f>IFERROR(__xludf.DUMMYFUNCTION("""COMPUTED_VALUE"""),1.0)</f>
        <v>1</v>
      </c>
    </row>
    <row r="107">
      <c r="A107" s="9" t="b">
        <f>IFERROR(__xludf.DUMMYFUNCTION("""COMPUTED_VALUE"""),FALSE)</f>
        <v>0</v>
      </c>
      <c r="B107" s="9" t="str">
        <f>IFERROR(__xludf.DUMMYFUNCTION("""COMPUTED_VALUE"""),"chemicals")</f>
        <v>chemicals</v>
      </c>
      <c r="C107" s="9" t="str">
        <f>IFERROR(__xludf.DUMMYFUNCTION("""COMPUTED_VALUE"""),"edgar")</f>
        <v>edgar</v>
      </c>
      <c r="D107" s="9" t="str">
        <f>IFERROR(__xludf.DUMMYFUNCTION("""COMPUTED_VALUE"""),"2.B Chemical Industry")</f>
        <v>2.B Chemical Industry</v>
      </c>
      <c r="E107" s="9">
        <f>IFERROR(__xludf.DUMMYFUNCTION("""COMPUTED_VALUE"""),1.0)</f>
        <v>1</v>
      </c>
    </row>
    <row r="108">
      <c r="A108" s="9" t="b">
        <f>IFERROR(__xludf.DUMMYFUNCTION("""COMPUTED_VALUE"""),FALSE)</f>
        <v>0</v>
      </c>
      <c r="B108" s="9" t="str">
        <f>IFERROR(__xludf.DUMMYFUNCTION("""COMPUTED_VALUE"""),"steel")</f>
        <v>steel</v>
      </c>
      <c r="C108" s="9" t="str">
        <f>IFERROR(__xludf.DUMMYFUNCTION("""COMPUTED_VALUE"""),"edgar")</f>
        <v>edgar</v>
      </c>
      <c r="D108" s="9" t="str">
        <f>IFERROR(__xludf.DUMMYFUNCTION("""COMPUTED_VALUE"""),"2.C Metal Industry")</f>
        <v>2.C Metal Industry</v>
      </c>
      <c r="E108" s="9">
        <f>IFERROR(__xludf.DUMMYFUNCTION("""COMPUTED_VALUE"""),1.0)</f>
        <v>1</v>
      </c>
    </row>
    <row r="109">
      <c r="A109" s="9" t="b">
        <f>IFERROR(__xludf.DUMMYFUNCTION("""COMPUTED_VALUE"""),FALSE)</f>
        <v>0</v>
      </c>
      <c r="B109" s="9" t="str">
        <f>IFERROR(__xludf.DUMMYFUNCTION("""COMPUTED_VALUE"""),"steel")</f>
        <v>steel</v>
      </c>
      <c r="C109" s="9" t="str">
        <f>IFERROR(__xludf.DUMMYFUNCTION("""COMPUTED_VALUE"""),"unfccc_non_annex_1")</f>
        <v>unfccc_non_annex_1</v>
      </c>
      <c r="D109" s="9" t="str">
        <f>IFERROR(__xludf.DUMMYFUNCTION("""COMPUTED_VALUE"""),"2.C.3  Aluminium Production")</f>
        <v>2.C.3  Aluminium Production</v>
      </c>
      <c r="E109" s="9">
        <f>IFERROR(__xludf.DUMMYFUNCTION("""COMPUTED_VALUE"""),-1.0)</f>
        <v>-1</v>
      </c>
    </row>
    <row r="110">
      <c r="A110" s="9" t="b">
        <f>IFERROR(__xludf.DUMMYFUNCTION("""COMPUTED_VALUE"""),FALSE)</f>
        <v>0</v>
      </c>
      <c r="B110" s="9" t="str">
        <f>IFERROR(__xludf.DUMMYFUNCTION("""COMPUTED_VALUE"""),"steel")</f>
        <v>steel</v>
      </c>
      <c r="C110" s="9" t="str">
        <f>IFERROR(__xludf.DUMMYFUNCTION("""COMPUTED_VALUE"""),"unfccc_non_annex_1")</f>
        <v>unfccc_non_annex_1</v>
      </c>
      <c r="D110" s="9" t="str">
        <f>IFERROR(__xludf.DUMMYFUNCTION("""COMPUTED_VALUE"""),"2.C.2  Ferroalloys Production")</f>
        <v>2.C.2  Ferroalloys Production</v>
      </c>
      <c r="E110" s="9">
        <f>IFERROR(__xludf.DUMMYFUNCTION("""COMPUTED_VALUE"""),-1.0)</f>
        <v>-1</v>
      </c>
    </row>
    <row r="111">
      <c r="A111" s="9" t="b">
        <f>IFERROR(__xludf.DUMMYFUNCTION("""COMPUTED_VALUE"""),FALSE)</f>
        <v>0</v>
      </c>
      <c r="B111" s="9" t="str">
        <f>IFERROR(__xludf.DUMMYFUNCTION("""COMPUTED_VALUE"""),"steel")</f>
        <v>steel</v>
      </c>
      <c r="C111" s="9" t="str">
        <f>IFERROR(__xludf.DUMMYFUNCTION("""COMPUTED_VALUE"""),"unfccc_non_annex_1")</f>
        <v>unfccc_non_annex_1</v>
      </c>
      <c r="D111" s="9" t="str">
        <f>IFERROR(__xludf.DUMMYFUNCTION("""COMPUTED_VALUE"""),"2.C.4  Magnesium Production")</f>
        <v>2.C.4  Magnesium Production</v>
      </c>
      <c r="E111" s="9">
        <f>IFERROR(__xludf.DUMMYFUNCTION("""COMPUTED_VALUE"""),-1.0)</f>
        <v>-1</v>
      </c>
    </row>
    <row r="112">
      <c r="A112" s="9" t="b">
        <f>IFERROR(__xludf.DUMMYFUNCTION("""COMPUTED_VALUE"""),FALSE)</f>
        <v>0</v>
      </c>
      <c r="B112" s="9" t="str">
        <f>IFERROR(__xludf.DUMMYFUNCTION("""COMPUTED_VALUE"""),"steel")</f>
        <v>steel</v>
      </c>
      <c r="C112" s="9" t="str">
        <f>IFERROR(__xludf.DUMMYFUNCTION("""COMPUTED_VALUE"""),"unfccc_non_annex_1")</f>
        <v>unfccc_non_annex_1</v>
      </c>
      <c r="D112" s="9" t="str">
        <f>IFERROR(__xludf.DUMMYFUNCTION("""COMPUTED_VALUE"""),"2.C.5  Lead Production")</f>
        <v>2.C.5  Lead Production</v>
      </c>
      <c r="E112" s="9">
        <f>IFERROR(__xludf.DUMMYFUNCTION("""COMPUTED_VALUE"""),-1.0)</f>
        <v>-1</v>
      </c>
    </row>
    <row r="113">
      <c r="A113" s="9" t="b">
        <f>IFERROR(__xludf.DUMMYFUNCTION("""COMPUTED_VALUE"""),FALSE)</f>
        <v>0</v>
      </c>
      <c r="B113" s="9" t="str">
        <f>IFERROR(__xludf.DUMMYFUNCTION("""COMPUTED_VALUE"""),"steel")</f>
        <v>steel</v>
      </c>
      <c r="C113" s="9" t="str">
        <f>IFERROR(__xludf.DUMMYFUNCTION("""COMPUTED_VALUE"""),"unfccc_non_annex_1")</f>
        <v>unfccc_non_annex_1</v>
      </c>
      <c r="D113" s="9" t="str">
        <f>IFERROR(__xludf.DUMMYFUNCTION("""COMPUTED_VALUE"""),"2.C.6  Zinc Production")</f>
        <v>2.C.6  Zinc Production</v>
      </c>
      <c r="E113" s="9">
        <f>IFERROR(__xludf.DUMMYFUNCTION("""COMPUTED_VALUE"""),-1.0)</f>
        <v>-1</v>
      </c>
    </row>
    <row r="114">
      <c r="A114" s="9" t="b">
        <f>IFERROR(__xludf.DUMMYFUNCTION("""COMPUTED_VALUE"""),FALSE)</f>
        <v>0</v>
      </c>
      <c r="B114" s="9" t="str">
        <f>IFERROR(__xludf.DUMMYFUNCTION("""COMPUTED_VALUE"""),"steel")</f>
        <v>steel</v>
      </c>
      <c r="C114" s="9" t="str">
        <f>IFERROR(__xludf.DUMMYFUNCTION("""COMPUTED_VALUE"""),"unfccc_non_annex_1")</f>
        <v>unfccc_non_annex_1</v>
      </c>
      <c r="D114" s="9" t="str">
        <f>IFERROR(__xludf.DUMMYFUNCTION("""COMPUTED_VALUE"""),"2.C.7  Other")</f>
        <v>2.C.7  Other</v>
      </c>
      <c r="E114" s="9">
        <f>IFERROR(__xludf.DUMMYFUNCTION("""COMPUTED_VALUE"""),-1.0)</f>
        <v>-1</v>
      </c>
    </row>
    <row r="115">
      <c r="A115" s="9" t="b">
        <f>IFERROR(__xludf.DUMMYFUNCTION("""COMPUTED_VALUE"""),FALSE)</f>
        <v>0</v>
      </c>
      <c r="B115" s="9" t="str">
        <f>IFERROR(__xludf.DUMMYFUNCTION("""COMPUTED_VALUE"""),"steel")</f>
        <v>steel</v>
      </c>
      <c r="C115" s="9" t="str">
        <f>IFERROR(__xludf.DUMMYFUNCTION("""COMPUTED_VALUE"""),"edgar")</f>
        <v>edgar</v>
      </c>
      <c r="D115" s="9" t="str">
        <f>IFERROR(__xludf.DUMMYFUNCTION("""COMPUTED_VALUE"""),"1.A.2 Manufacturing Industries and Construction")</f>
        <v>1.A.2 Manufacturing Industries and Construction</v>
      </c>
      <c r="E115" s="9">
        <f>IFERROR(__xludf.DUMMYFUNCTION("""COMPUTED_VALUE"""),1.0)</f>
        <v>1</v>
      </c>
    </row>
    <row r="116">
      <c r="A116" s="9" t="b">
        <f>IFERROR(__xludf.DUMMYFUNCTION("""COMPUTED_VALUE"""),FALSE)</f>
        <v>0</v>
      </c>
      <c r="B116" s="9" t="str">
        <f>IFERROR(__xludf.DUMMYFUNCTION("""COMPUTED_VALUE"""),"steel")</f>
        <v>steel</v>
      </c>
      <c r="C116" s="9" t="str">
        <f>IFERROR(__xludf.DUMMYFUNCTION("""COMPUTED_VALUE"""),"unfccc_non_annex_1")</f>
        <v>unfccc_non_annex_1</v>
      </c>
      <c r="D116" s="9" t="str">
        <f>IFERROR(__xludf.DUMMYFUNCTION("""COMPUTED_VALUE"""),"1.A.2.b  Non-Ferrous Metals")</f>
        <v>1.A.2.b  Non-Ferrous Metals</v>
      </c>
      <c r="E116" s="9">
        <f>IFERROR(__xludf.DUMMYFUNCTION("""COMPUTED_VALUE"""),-1.0)</f>
        <v>-1</v>
      </c>
    </row>
    <row r="117">
      <c r="A117" s="9" t="b">
        <f>IFERROR(__xludf.DUMMYFUNCTION("""COMPUTED_VALUE"""),FALSE)</f>
        <v>0</v>
      </c>
      <c r="B117" s="9" t="str">
        <f>IFERROR(__xludf.DUMMYFUNCTION("""COMPUTED_VALUE"""),"steel")</f>
        <v>steel</v>
      </c>
      <c r="C117" s="9" t="str">
        <f>IFERROR(__xludf.DUMMYFUNCTION("""COMPUTED_VALUE"""),"unfccc_non_annex_1")</f>
        <v>unfccc_non_annex_1</v>
      </c>
      <c r="D117" s="9" t="str">
        <f>IFERROR(__xludf.DUMMYFUNCTION("""COMPUTED_VALUE"""),"1.A.2.d  Pulp, Paper and Print")</f>
        <v>1.A.2.d  Pulp, Paper and Print</v>
      </c>
      <c r="E117" s="9">
        <f>IFERROR(__xludf.DUMMYFUNCTION("""COMPUTED_VALUE"""),-1.0)</f>
        <v>-1</v>
      </c>
    </row>
    <row r="118">
      <c r="A118" s="9" t="b">
        <f>IFERROR(__xludf.DUMMYFUNCTION("""COMPUTED_VALUE"""),FALSE)</f>
        <v>0</v>
      </c>
      <c r="B118" s="9" t="str">
        <f>IFERROR(__xludf.DUMMYFUNCTION("""COMPUTED_VALUE"""),"steel")</f>
        <v>steel</v>
      </c>
      <c r="C118" s="9" t="str">
        <f>IFERROR(__xludf.DUMMYFUNCTION("""COMPUTED_VALUE"""),"unfccc_non_annex_1")</f>
        <v>unfccc_non_annex_1</v>
      </c>
      <c r="D118" s="9" t="str">
        <f>IFERROR(__xludf.DUMMYFUNCTION("""COMPUTED_VALUE"""),"1.A.2.c  Chemicals")</f>
        <v>1.A.2.c  Chemicals</v>
      </c>
      <c r="E118" s="9">
        <f>IFERROR(__xludf.DUMMYFUNCTION("""COMPUTED_VALUE"""),-1.0)</f>
        <v>-1</v>
      </c>
    </row>
    <row r="119">
      <c r="A119" s="9" t="b">
        <f>IFERROR(__xludf.DUMMYFUNCTION("""COMPUTED_VALUE"""),FALSE)</f>
        <v>0</v>
      </c>
      <c r="B119" s="9" t="str">
        <f>IFERROR(__xludf.DUMMYFUNCTION("""COMPUTED_VALUE"""),"steel")</f>
        <v>steel</v>
      </c>
      <c r="C119" s="9" t="str">
        <f>IFERROR(__xludf.DUMMYFUNCTION("""COMPUTED_VALUE"""),"unfccc_non_annex_1")</f>
        <v>unfccc_non_annex_1</v>
      </c>
      <c r="D119" s="9" t="str">
        <f>IFERROR(__xludf.DUMMYFUNCTION("""COMPUTED_VALUE"""),"1.A.2.e  Food Processing, Beverages and Tobacco")</f>
        <v>1.A.2.e  Food Processing, Beverages and Tobacco</v>
      </c>
      <c r="E119" s="9">
        <f>IFERROR(__xludf.DUMMYFUNCTION("""COMPUTED_VALUE"""),-1.0)</f>
        <v>-1</v>
      </c>
    </row>
    <row r="120">
      <c r="A120" s="9" t="b">
        <f>IFERROR(__xludf.DUMMYFUNCTION("""COMPUTED_VALUE"""),FALSE)</f>
        <v>0</v>
      </c>
      <c r="B120" s="9" t="str">
        <f>IFERROR(__xludf.DUMMYFUNCTION("""COMPUTED_VALUE"""),"steel")</f>
        <v>steel</v>
      </c>
      <c r="C120" s="9" t="str">
        <f>IFERROR(__xludf.DUMMYFUNCTION("""COMPUTED_VALUE"""),"unfccc_non_annex_1")</f>
        <v>unfccc_non_annex_1</v>
      </c>
      <c r="D120" s="9" t="str">
        <f>IFERROR(__xludf.DUMMYFUNCTION("""COMPUTED_VALUE"""),"1.A.2.f  Non-metallic Minerals")</f>
        <v>1.A.2.f  Non-metallic Minerals</v>
      </c>
      <c r="E120" s="9">
        <f>IFERROR(__xludf.DUMMYFUNCTION("""COMPUTED_VALUE"""),-1.0)</f>
        <v>-1</v>
      </c>
    </row>
    <row r="121">
      <c r="A121" s="9" t="b">
        <f>IFERROR(__xludf.DUMMYFUNCTION("""COMPUTED_VALUE"""),FALSE)</f>
        <v>0</v>
      </c>
      <c r="B121" s="9" t="str">
        <f>IFERROR(__xludf.DUMMYFUNCTION("""COMPUTED_VALUE"""),"steel")</f>
        <v>steel</v>
      </c>
      <c r="C121" s="9" t="str">
        <f>IFERROR(__xludf.DUMMYFUNCTION("""COMPUTED_VALUE"""),"unfccc_non_annex_1")</f>
        <v>unfccc_non_annex_1</v>
      </c>
      <c r="D121" s="9" t="str">
        <f>IFERROR(__xludf.DUMMYFUNCTION("""COMPUTED_VALUE"""),"1.A.2.g  Other")</f>
        <v>1.A.2.g  Other</v>
      </c>
      <c r="E121" s="9">
        <f>IFERROR(__xludf.DUMMYFUNCTION("""COMPUTED_VALUE"""),-1.0)</f>
        <v>-1</v>
      </c>
    </row>
    <row r="122">
      <c r="A122" s="9" t="b">
        <f>IFERROR(__xludf.DUMMYFUNCTION("""COMPUTED_VALUE"""),FALSE)</f>
        <v>0</v>
      </c>
      <c r="B122" s="9" t="str">
        <f>IFERROR(__xludf.DUMMYFUNCTION("""COMPUTED_VALUE"""),"aluminum")</f>
        <v>aluminum</v>
      </c>
      <c r="C122" s="9" t="str">
        <f>IFERROR(__xludf.DUMMYFUNCTION("""COMPUTED_VALUE"""),"edgar")</f>
        <v>edgar</v>
      </c>
      <c r="D122" s="9" t="str">
        <f>IFERROR(__xludf.DUMMYFUNCTION("""COMPUTED_VALUE"""),"2.C Metal Industry")</f>
        <v>2.C Metal Industry</v>
      </c>
      <c r="E122" s="9">
        <f>IFERROR(__xludf.DUMMYFUNCTION("""COMPUTED_VALUE"""),1.0)</f>
        <v>1</v>
      </c>
    </row>
    <row r="123">
      <c r="A123" s="9" t="b">
        <f>IFERROR(__xludf.DUMMYFUNCTION("""COMPUTED_VALUE"""),FALSE)</f>
        <v>0</v>
      </c>
      <c r="B123" s="9" t="str">
        <f>IFERROR(__xludf.DUMMYFUNCTION("""COMPUTED_VALUE"""),"aluminum")</f>
        <v>aluminum</v>
      </c>
      <c r="C123" s="9" t="str">
        <f>IFERROR(__xludf.DUMMYFUNCTION("""COMPUTED_VALUE"""),"edgar")</f>
        <v>edgar</v>
      </c>
      <c r="D123" s="9" t="str">
        <f>IFERROR(__xludf.DUMMYFUNCTION("""COMPUTED_VALUE"""),"1.A.2 Manufacturing Industries and Construction")</f>
        <v>1.A.2 Manufacturing Industries and Construction</v>
      </c>
      <c r="E123" s="9">
        <f>IFERROR(__xludf.DUMMYFUNCTION("""COMPUTED_VALUE"""),1.0)</f>
        <v>1</v>
      </c>
    </row>
    <row r="124">
      <c r="A124" s="9" t="b">
        <f>IFERROR(__xludf.DUMMYFUNCTION("""COMPUTED_VALUE"""),FALSE)</f>
        <v>0</v>
      </c>
      <c r="B124" s="9" t="str">
        <f>IFERROR(__xludf.DUMMYFUNCTION("""COMPUTED_VALUE"""),"aluminum")</f>
        <v>aluminum</v>
      </c>
      <c r="C124" s="9" t="str">
        <f>IFERROR(__xludf.DUMMYFUNCTION("""COMPUTED_VALUE"""),"unfccc_non_annex_1")</f>
        <v>unfccc_non_annex_1</v>
      </c>
      <c r="D124" s="9" t="str">
        <f>IFERROR(__xludf.DUMMYFUNCTION("""COMPUTED_VALUE"""),"1.A.2.a  Iron and Steel")</f>
        <v>1.A.2.a  Iron and Steel</v>
      </c>
      <c r="E124" s="9">
        <f>IFERROR(__xludf.DUMMYFUNCTION("""COMPUTED_VALUE"""),-1.0)</f>
        <v>-1</v>
      </c>
    </row>
    <row r="125">
      <c r="A125" s="9" t="b">
        <f>IFERROR(__xludf.DUMMYFUNCTION("""COMPUTED_VALUE"""),FALSE)</f>
        <v>0</v>
      </c>
      <c r="B125" s="9" t="str">
        <f>IFERROR(__xludf.DUMMYFUNCTION("""COMPUTED_VALUE"""),"aluminum")</f>
        <v>aluminum</v>
      </c>
      <c r="C125" s="9" t="str">
        <f>IFERROR(__xludf.DUMMYFUNCTION("""COMPUTED_VALUE"""),"unfccc_non_annex_1")</f>
        <v>unfccc_non_annex_1</v>
      </c>
      <c r="D125" s="9" t="str">
        <f>IFERROR(__xludf.DUMMYFUNCTION("""COMPUTED_VALUE"""),"1.A.2.d  Pulp, Paper and Print")</f>
        <v>1.A.2.d  Pulp, Paper and Print</v>
      </c>
      <c r="E125" s="9">
        <f>IFERROR(__xludf.DUMMYFUNCTION("""COMPUTED_VALUE"""),-1.0)</f>
        <v>-1</v>
      </c>
    </row>
    <row r="126">
      <c r="A126" s="9" t="b">
        <f>IFERROR(__xludf.DUMMYFUNCTION("""COMPUTED_VALUE"""),FALSE)</f>
        <v>0</v>
      </c>
      <c r="B126" s="9" t="str">
        <f>IFERROR(__xludf.DUMMYFUNCTION("""COMPUTED_VALUE"""),"aluminum")</f>
        <v>aluminum</v>
      </c>
      <c r="C126" s="9" t="str">
        <f>IFERROR(__xludf.DUMMYFUNCTION("""COMPUTED_VALUE"""),"unfccc_non_annex_1")</f>
        <v>unfccc_non_annex_1</v>
      </c>
      <c r="D126" s="9" t="str">
        <f>IFERROR(__xludf.DUMMYFUNCTION("""COMPUTED_VALUE"""),"1.A.2.c  Chemicals")</f>
        <v>1.A.2.c  Chemicals</v>
      </c>
      <c r="E126" s="9">
        <f>IFERROR(__xludf.DUMMYFUNCTION("""COMPUTED_VALUE"""),-1.0)</f>
        <v>-1</v>
      </c>
    </row>
    <row r="127">
      <c r="A127" s="9" t="b">
        <f>IFERROR(__xludf.DUMMYFUNCTION("""COMPUTED_VALUE"""),FALSE)</f>
        <v>0</v>
      </c>
      <c r="B127" s="9" t="str">
        <f>IFERROR(__xludf.DUMMYFUNCTION("""COMPUTED_VALUE"""),"aluminum")</f>
        <v>aluminum</v>
      </c>
      <c r="C127" s="9" t="str">
        <f>IFERROR(__xludf.DUMMYFUNCTION("""COMPUTED_VALUE"""),"unfccc_non_annex_1")</f>
        <v>unfccc_non_annex_1</v>
      </c>
      <c r="D127" s="9" t="str">
        <f>IFERROR(__xludf.DUMMYFUNCTION("""COMPUTED_VALUE"""),"1.A.2.e  Food Processing, Beverages and Tobacco")</f>
        <v>1.A.2.e  Food Processing, Beverages and Tobacco</v>
      </c>
      <c r="E127" s="9">
        <f>IFERROR(__xludf.DUMMYFUNCTION("""COMPUTED_VALUE"""),-1.0)</f>
        <v>-1</v>
      </c>
    </row>
    <row r="128">
      <c r="A128" s="9" t="b">
        <f>IFERROR(__xludf.DUMMYFUNCTION("""COMPUTED_VALUE"""),FALSE)</f>
        <v>0</v>
      </c>
      <c r="B128" s="9" t="str">
        <f>IFERROR(__xludf.DUMMYFUNCTION("""COMPUTED_VALUE"""),"aluminum")</f>
        <v>aluminum</v>
      </c>
      <c r="C128" s="9" t="str">
        <f>IFERROR(__xludf.DUMMYFUNCTION("""COMPUTED_VALUE"""),"unfccc_non_annex_1")</f>
        <v>unfccc_non_annex_1</v>
      </c>
      <c r="D128" s="9" t="str">
        <f>IFERROR(__xludf.DUMMYFUNCTION("""COMPUTED_VALUE"""),"1.A.2.f  Non-metallic Minerals")</f>
        <v>1.A.2.f  Non-metallic Minerals</v>
      </c>
      <c r="E128" s="9">
        <f>IFERROR(__xludf.DUMMYFUNCTION("""COMPUTED_VALUE"""),-1.0)</f>
        <v>-1</v>
      </c>
    </row>
    <row r="129">
      <c r="A129" s="9" t="b">
        <f>IFERROR(__xludf.DUMMYFUNCTION("""COMPUTED_VALUE"""),FALSE)</f>
        <v>0</v>
      </c>
      <c r="B129" s="9" t="str">
        <f>IFERROR(__xludf.DUMMYFUNCTION("""COMPUTED_VALUE"""),"aluminum")</f>
        <v>aluminum</v>
      </c>
      <c r="C129" s="9" t="str">
        <f>IFERROR(__xludf.DUMMYFUNCTION("""COMPUTED_VALUE"""),"unfccc_non_annex_1")</f>
        <v>unfccc_non_annex_1</v>
      </c>
      <c r="D129" s="9" t="str">
        <f>IFERROR(__xludf.DUMMYFUNCTION("""COMPUTED_VALUE"""),"1.A.2.g  Other")</f>
        <v>1.A.2.g  Other</v>
      </c>
      <c r="E129" s="9">
        <f>IFERROR(__xludf.DUMMYFUNCTION("""COMPUTED_VALUE"""),-1.0)</f>
        <v>-1</v>
      </c>
    </row>
    <row r="130">
      <c r="A130" s="9" t="b">
        <f>IFERROR(__xludf.DUMMYFUNCTION("""COMPUTED_VALUE"""),FALSE)</f>
        <v>0</v>
      </c>
      <c r="B130" s="9" t="str">
        <f>IFERROR(__xludf.DUMMYFUNCTION("""COMPUTED_VALUE"""),"aluminum")</f>
        <v>aluminum</v>
      </c>
      <c r="C130" s="9" t="str">
        <f>IFERROR(__xludf.DUMMYFUNCTION("""COMPUTED_VALUE"""),"unfccc_non_annex_1")</f>
        <v>unfccc_non_annex_1</v>
      </c>
      <c r="D130" s="9" t="str">
        <f>IFERROR(__xludf.DUMMYFUNCTION("""COMPUTED_VALUE"""),"2.C.1  Iron and Steel Production")</f>
        <v>2.C.1  Iron and Steel Production</v>
      </c>
      <c r="E130" s="9">
        <f>IFERROR(__xludf.DUMMYFUNCTION("""COMPUTED_VALUE"""),-1.0)</f>
        <v>-1</v>
      </c>
    </row>
    <row r="131">
      <c r="A131" s="9" t="b">
        <f>IFERROR(__xludf.DUMMYFUNCTION("""COMPUTED_VALUE"""),FALSE)</f>
        <v>0</v>
      </c>
      <c r="B131" s="9" t="str">
        <f>IFERROR(__xludf.DUMMYFUNCTION("""COMPUTED_VALUE"""),"aluminum")</f>
        <v>aluminum</v>
      </c>
      <c r="C131" s="9" t="str">
        <f>IFERROR(__xludf.DUMMYFUNCTION("""COMPUTED_VALUE"""),"unfccc_non_annex_1")</f>
        <v>unfccc_non_annex_1</v>
      </c>
      <c r="D131" s="9" t="str">
        <f>IFERROR(__xludf.DUMMYFUNCTION("""COMPUTED_VALUE"""),"2.C.2  Ferroalloys Production")</f>
        <v>2.C.2  Ferroalloys Production</v>
      </c>
      <c r="E131" s="9">
        <f>IFERROR(__xludf.DUMMYFUNCTION("""COMPUTED_VALUE"""),-1.0)</f>
        <v>-1</v>
      </c>
    </row>
    <row r="132">
      <c r="A132" s="9" t="b">
        <f>IFERROR(__xludf.DUMMYFUNCTION("""COMPUTED_VALUE"""),FALSE)</f>
        <v>0</v>
      </c>
      <c r="B132" s="9" t="str">
        <f>IFERROR(__xludf.DUMMYFUNCTION("""COMPUTED_VALUE"""),"aluminum")</f>
        <v>aluminum</v>
      </c>
      <c r="C132" s="9" t="str">
        <f>IFERROR(__xludf.DUMMYFUNCTION("""COMPUTED_VALUE"""),"unfccc_non_annex_1")</f>
        <v>unfccc_non_annex_1</v>
      </c>
      <c r="D132" s="9" t="str">
        <f>IFERROR(__xludf.DUMMYFUNCTION("""COMPUTED_VALUE"""),"2.C.4  Magnesium Production")</f>
        <v>2.C.4  Magnesium Production</v>
      </c>
      <c r="E132" s="9">
        <f>IFERROR(__xludf.DUMMYFUNCTION("""COMPUTED_VALUE"""),-1.0)</f>
        <v>-1</v>
      </c>
    </row>
    <row r="133">
      <c r="A133" s="9" t="b">
        <f>IFERROR(__xludf.DUMMYFUNCTION("""COMPUTED_VALUE"""),FALSE)</f>
        <v>0</v>
      </c>
      <c r="B133" s="9" t="str">
        <f>IFERROR(__xludf.DUMMYFUNCTION("""COMPUTED_VALUE"""),"aluminum")</f>
        <v>aluminum</v>
      </c>
      <c r="C133" s="9" t="str">
        <f>IFERROR(__xludf.DUMMYFUNCTION("""COMPUTED_VALUE"""),"unfccc_non_annex_1")</f>
        <v>unfccc_non_annex_1</v>
      </c>
      <c r="D133" s="9" t="str">
        <f>IFERROR(__xludf.DUMMYFUNCTION("""COMPUTED_VALUE"""),"2.C.5  Lead Production")</f>
        <v>2.C.5  Lead Production</v>
      </c>
      <c r="E133" s="9">
        <f>IFERROR(__xludf.DUMMYFUNCTION("""COMPUTED_VALUE"""),-1.0)</f>
        <v>-1</v>
      </c>
    </row>
    <row r="134">
      <c r="A134" s="9" t="b">
        <f>IFERROR(__xludf.DUMMYFUNCTION("""COMPUTED_VALUE"""),FALSE)</f>
        <v>0</v>
      </c>
      <c r="B134" s="9" t="str">
        <f>IFERROR(__xludf.DUMMYFUNCTION("""COMPUTED_VALUE"""),"aluminum")</f>
        <v>aluminum</v>
      </c>
      <c r="C134" s="9" t="str">
        <f>IFERROR(__xludf.DUMMYFUNCTION("""COMPUTED_VALUE"""),"unfccc_non_annex_1")</f>
        <v>unfccc_non_annex_1</v>
      </c>
      <c r="D134" s="9" t="str">
        <f>IFERROR(__xludf.DUMMYFUNCTION("""COMPUTED_VALUE"""),"2.C.6  Zinc Production")</f>
        <v>2.C.6  Zinc Production</v>
      </c>
      <c r="E134" s="9">
        <f>IFERROR(__xludf.DUMMYFUNCTION("""COMPUTED_VALUE"""),-1.0)</f>
        <v>-1</v>
      </c>
    </row>
    <row r="135">
      <c r="A135" s="9" t="b">
        <f>IFERROR(__xludf.DUMMYFUNCTION("""COMPUTED_VALUE"""),FALSE)</f>
        <v>0</v>
      </c>
      <c r="B135" s="9" t="str">
        <f>IFERROR(__xludf.DUMMYFUNCTION("""COMPUTED_VALUE"""),"aluminum")</f>
        <v>aluminum</v>
      </c>
      <c r="C135" s="9" t="str">
        <f>IFERROR(__xludf.DUMMYFUNCTION("""COMPUTED_VALUE"""),"unfccc_non_annex_1")</f>
        <v>unfccc_non_annex_1</v>
      </c>
      <c r="D135" s="9" t="str">
        <f>IFERROR(__xludf.DUMMYFUNCTION("""COMPUTED_VALUE"""),"2.C.7  Other")</f>
        <v>2.C.7  Other</v>
      </c>
      <c r="E135" s="9">
        <f>IFERROR(__xludf.DUMMYFUNCTION("""COMPUTED_VALUE"""),-1.0)</f>
        <v>-1</v>
      </c>
    </row>
    <row r="136">
      <c r="A136" s="9" t="b">
        <f>IFERROR(__xludf.DUMMYFUNCTION("""COMPUTED_VALUE"""),FALSE)</f>
        <v>0</v>
      </c>
      <c r="B136" s="9" t="str">
        <f>IFERROR(__xludf.DUMMYFUNCTION("""COMPUTED_VALUE"""),"pulp-and-paper")</f>
        <v>pulp-and-paper</v>
      </c>
      <c r="C136" s="9" t="str">
        <f>IFERROR(__xludf.DUMMYFUNCTION("""COMPUTED_VALUE"""),"edgar")</f>
        <v>edgar</v>
      </c>
      <c r="D136" s="9" t="str">
        <f>IFERROR(__xludf.DUMMYFUNCTION("""COMPUTED_VALUE"""),"1.A.2 Manufacturing Industries and Construction")</f>
        <v>1.A.2 Manufacturing Industries and Construction</v>
      </c>
      <c r="E136" s="9">
        <f>IFERROR(__xludf.DUMMYFUNCTION("""COMPUTED_VALUE"""),1.0)</f>
        <v>1</v>
      </c>
    </row>
    <row r="137">
      <c r="A137" s="9" t="b">
        <f>IFERROR(__xludf.DUMMYFUNCTION("""COMPUTED_VALUE"""),FALSE)</f>
        <v>0</v>
      </c>
      <c r="B137" s="9" t="str">
        <f>IFERROR(__xludf.DUMMYFUNCTION("""COMPUTED_VALUE"""),"pulp-and-paper")</f>
        <v>pulp-and-paper</v>
      </c>
      <c r="C137" s="9" t="str">
        <f>IFERROR(__xludf.DUMMYFUNCTION("""COMPUTED_VALUE"""),"unfccc_non_annex_1")</f>
        <v>unfccc_non_annex_1</v>
      </c>
      <c r="D137" s="9" t="str">
        <f>IFERROR(__xludf.DUMMYFUNCTION("""COMPUTED_VALUE"""),"1.A.2.a  Iron and Steel")</f>
        <v>1.A.2.a  Iron and Steel</v>
      </c>
      <c r="E137" s="9">
        <f>IFERROR(__xludf.DUMMYFUNCTION("""COMPUTED_VALUE"""),-1.0)</f>
        <v>-1</v>
      </c>
    </row>
    <row r="138">
      <c r="A138" s="9" t="b">
        <f>IFERROR(__xludf.DUMMYFUNCTION("""COMPUTED_VALUE"""),FALSE)</f>
        <v>0</v>
      </c>
      <c r="B138" s="9" t="str">
        <f>IFERROR(__xludf.DUMMYFUNCTION("""COMPUTED_VALUE"""),"pulp-and-paper")</f>
        <v>pulp-and-paper</v>
      </c>
      <c r="C138" s="9" t="str">
        <f>IFERROR(__xludf.DUMMYFUNCTION("""COMPUTED_VALUE"""),"unfccc_non_annex_1")</f>
        <v>unfccc_non_annex_1</v>
      </c>
      <c r="D138" s="9" t="str">
        <f>IFERROR(__xludf.DUMMYFUNCTION("""COMPUTED_VALUE"""),"1.A.2.b  Non-Ferrous Metals")</f>
        <v>1.A.2.b  Non-Ferrous Metals</v>
      </c>
      <c r="E138" s="9">
        <f>IFERROR(__xludf.DUMMYFUNCTION("""COMPUTED_VALUE"""),-1.0)</f>
        <v>-1</v>
      </c>
    </row>
    <row r="139">
      <c r="A139" s="9" t="b">
        <f>IFERROR(__xludf.DUMMYFUNCTION("""COMPUTED_VALUE"""),FALSE)</f>
        <v>0</v>
      </c>
      <c r="B139" s="9" t="str">
        <f>IFERROR(__xludf.DUMMYFUNCTION("""COMPUTED_VALUE"""),"pulp-and-paper")</f>
        <v>pulp-and-paper</v>
      </c>
      <c r="C139" s="9" t="str">
        <f>IFERROR(__xludf.DUMMYFUNCTION("""COMPUTED_VALUE"""),"unfccc_non_annex_1")</f>
        <v>unfccc_non_annex_1</v>
      </c>
      <c r="D139" s="9" t="str">
        <f>IFERROR(__xludf.DUMMYFUNCTION("""COMPUTED_VALUE"""),"1.A.2.c  Chemicals")</f>
        <v>1.A.2.c  Chemicals</v>
      </c>
      <c r="E139" s="9">
        <f>IFERROR(__xludf.DUMMYFUNCTION("""COMPUTED_VALUE"""),-1.0)</f>
        <v>-1</v>
      </c>
    </row>
    <row r="140">
      <c r="A140" s="9" t="b">
        <f>IFERROR(__xludf.DUMMYFUNCTION("""COMPUTED_VALUE"""),FALSE)</f>
        <v>0</v>
      </c>
      <c r="B140" s="9" t="str">
        <f>IFERROR(__xludf.DUMMYFUNCTION("""COMPUTED_VALUE"""),"pulp-and-paper")</f>
        <v>pulp-and-paper</v>
      </c>
      <c r="C140" s="9" t="str">
        <f>IFERROR(__xludf.DUMMYFUNCTION("""COMPUTED_VALUE"""),"unfccc_non_annex_1")</f>
        <v>unfccc_non_annex_1</v>
      </c>
      <c r="D140" s="9" t="str">
        <f>IFERROR(__xludf.DUMMYFUNCTION("""COMPUTED_VALUE"""),"1.A.2.e  Food Processing, Beverages and Tobacco")</f>
        <v>1.A.2.e  Food Processing, Beverages and Tobacco</v>
      </c>
      <c r="E140" s="9">
        <f>IFERROR(__xludf.DUMMYFUNCTION("""COMPUTED_VALUE"""),-1.0)</f>
        <v>-1</v>
      </c>
    </row>
    <row r="141">
      <c r="A141" s="9" t="b">
        <f>IFERROR(__xludf.DUMMYFUNCTION("""COMPUTED_VALUE"""),FALSE)</f>
        <v>0</v>
      </c>
      <c r="B141" s="9" t="str">
        <f>IFERROR(__xludf.DUMMYFUNCTION("""COMPUTED_VALUE"""),"pulp-and-paper")</f>
        <v>pulp-and-paper</v>
      </c>
      <c r="C141" s="9" t="str">
        <f>IFERROR(__xludf.DUMMYFUNCTION("""COMPUTED_VALUE"""),"unfccc_non_annex_1")</f>
        <v>unfccc_non_annex_1</v>
      </c>
      <c r="D141" s="9" t="str">
        <f>IFERROR(__xludf.DUMMYFUNCTION("""COMPUTED_VALUE"""),"1.A.2.f  Non-metallic Minerals")</f>
        <v>1.A.2.f  Non-metallic Minerals</v>
      </c>
      <c r="E141" s="9">
        <f>IFERROR(__xludf.DUMMYFUNCTION("""COMPUTED_VALUE"""),-1.0)</f>
        <v>-1</v>
      </c>
    </row>
    <row r="142">
      <c r="A142" s="9" t="b">
        <f>IFERROR(__xludf.DUMMYFUNCTION("""COMPUTED_VALUE"""),FALSE)</f>
        <v>0</v>
      </c>
      <c r="B142" s="9" t="str">
        <f>IFERROR(__xludf.DUMMYFUNCTION("""COMPUTED_VALUE"""),"pulp-and-paper")</f>
        <v>pulp-and-paper</v>
      </c>
      <c r="C142" s="9" t="str">
        <f>IFERROR(__xludf.DUMMYFUNCTION("""COMPUTED_VALUE"""),"unfccc_non_annex_1")</f>
        <v>unfccc_non_annex_1</v>
      </c>
      <c r="D142" s="9" t="str">
        <f>IFERROR(__xludf.DUMMYFUNCTION("""COMPUTED_VALUE"""),"1.A.2.g  Other")</f>
        <v>1.A.2.g  Other</v>
      </c>
      <c r="E142" s="9">
        <f>IFERROR(__xludf.DUMMYFUNCTION("""COMPUTED_VALUE"""),-1.0)</f>
        <v>-1</v>
      </c>
    </row>
    <row r="143">
      <c r="A143" s="9" t="b">
        <f>IFERROR(__xludf.DUMMYFUNCTION("""COMPUTED_VALUE"""),FALSE)</f>
        <v>0</v>
      </c>
      <c r="B143" s="9" t="str">
        <f>IFERROR(__xludf.DUMMYFUNCTION("""COMPUTED_VALUE"""),"mining-and-quarrying")</f>
        <v>mining-and-quarrying</v>
      </c>
      <c r="C143" s="9"/>
      <c r="D143" s="9"/>
      <c r="E143" s="9"/>
    </row>
    <row r="144">
      <c r="A144" s="9" t="b">
        <f>IFERROR(__xludf.DUMMYFUNCTION("""COMPUTED_VALUE"""),FALSE)</f>
        <v>0</v>
      </c>
      <c r="B144" s="9" t="str">
        <f>IFERROR(__xludf.DUMMYFUNCTION("""COMPUTED_VALUE"""),"enteric-fermentation-cattle-feedlot")</f>
        <v>enteric-fermentation-cattle-feedlot</v>
      </c>
      <c r="C144" s="9" t="str">
        <f>IFERROR(__xludf.DUMMYFUNCTION("""COMPUTED_VALUE"""),"edgar")</f>
        <v>edgar</v>
      </c>
      <c r="D144" s="9" t="str">
        <f>IFERROR(__xludf.DUMMYFUNCTION("""COMPUTED_VALUE"""),"3.A.1 Enteric Fermentation")</f>
        <v>3.A.1 Enteric Fermentation</v>
      </c>
      <c r="E144" s="9">
        <f>IFERROR(__xludf.DUMMYFUNCTION("""COMPUTED_VALUE"""),1.0)</f>
        <v>1</v>
      </c>
    </row>
    <row r="145">
      <c r="A145" s="9" t="b">
        <f>IFERROR(__xludf.DUMMYFUNCTION("""COMPUTED_VALUE"""),FALSE)</f>
        <v>0</v>
      </c>
      <c r="B145" s="9" t="str">
        <f>IFERROR(__xludf.DUMMYFUNCTION("""COMPUTED_VALUE"""),"enteric-fermentation-cattle-feedlot")</f>
        <v>enteric-fermentation-cattle-feedlot</v>
      </c>
      <c r="C145" s="9" t="str">
        <f>IFERROR(__xludf.DUMMYFUNCTION("""COMPUTED_VALUE"""),"climate-trace")</f>
        <v>climate-trace</v>
      </c>
      <c r="D145" s="9" t="str">
        <f>IFERROR(__xludf.DUMMYFUNCTION("""COMPUTED_VALUE"""),"enteric-fermentation-cattle-pasture")</f>
        <v>enteric-fermentation-cattle-pasture</v>
      </c>
      <c r="E145" s="9">
        <f>IFERROR(__xludf.DUMMYFUNCTION("""COMPUTED_VALUE"""),-1.0)</f>
        <v>-1</v>
      </c>
    </row>
    <row r="146">
      <c r="A146" s="9" t="b">
        <f>IFERROR(__xludf.DUMMYFUNCTION("""COMPUTED_VALUE"""),FALSE)</f>
        <v>0</v>
      </c>
      <c r="B146" s="9" t="str">
        <f>IFERROR(__xludf.DUMMYFUNCTION("""COMPUTED_VALUE"""),"enteric-fermentation-cattle-feedlot")</f>
        <v>enteric-fermentation-cattle-feedlot</v>
      </c>
      <c r="C146" s="9" t="str">
        <f>IFERROR(__xludf.DUMMYFUNCTION("""COMPUTED_VALUE"""),"climate-trace")</f>
        <v>climate-trace</v>
      </c>
      <c r="D146" s="9" t="str">
        <f>IFERROR(__xludf.DUMMYFUNCTION("""COMPUTED_VALUE"""),"enteric-fermentation-other")</f>
        <v>enteric-fermentation-other</v>
      </c>
      <c r="E146" s="9">
        <f>IFERROR(__xludf.DUMMYFUNCTION("""COMPUTED_VALUE"""),-1.0)</f>
        <v>-1</v>
      </c>
    </row>
    <row r="147">
      <c r="A147" s="9" t="b">
        <f>IFERROR(__xludf.DUMMYFUNCTION("""COMPUTED_VALUE"""),FALSE)</f>
        <v>0</v>
      </c>
      <c r="B147" s="9" t="str">
        <f>IFERROR(__xludf.DUMMYFUNCTION("""COMPUTED_VALUE"""),"manure-left-on-pasture-cattle")</f>
        <v>manure-left-on-pasture-cattle</v>
      </c>
      <c r="C147" s="9" t="str">
        <f>IFERROR(__xludf.DUMMYFUNCTION("""COMPUTED_VALUE"""),"edgar")</f>
        <v>edgar</v>
      </c>
      <c r="D147" s="9" t="str">
        <f>IFERROR(__xludf.DUMMYFUNCTION("""COMPUTED_VALUE"""),"3.A.2 Manure Management")</f>
        <v>3.A.2 Manure Management</v>
      </c>
      <c r="E147" s="9">
        <f>IFERROR(__xludf.DUMMYFUNCTION("""COMPUTED_VALUE"""),1.0)</f>
        <v>1</v>
      </c>
    </row>
    <row r="148">
      <c r="A148" s="9" t="b">
        <f>IFERROR(__xludf.DUMMYFUNCTION("""COMPUTED_VALUE"""),FALSE)</f>
        <v>0</v>
      </c>
      <c r="B148" s="9" t="str">
        <f>IFERROR(__xludf.DUMMYFUNCTION("""COMPUTED_VALUE"""),"manure-left-on-pasture-cattle")</f>
        <v>manure-left-on-pasture-cattle</v>
      </c>
      <c r="C148" s="9" t="str">
        <f>IFERROR(__xludf.DUMMYFUNCTION("""COMPUTED_VALUE"""),"climate-trace")</f>
        <v>climate-trace</v>
      </c>
      <c r="D148" s="9" t="str">
        <f>IFERROR(__xludf.DUMMYFUNCTION("""COMPUTED_VALUE"""),"manure-management-cattle-feedlot")</f>
        <v>manure-management-cattle-feedlot</v>
      </c>
      <c r="E148" s="9">
        <f>IFERROR(__xludf.DUMMYFUNCTION("""COMPUTED_VALUE"""),-1.0)</f>
        <v>-1</v>
      </c>
    </row>
    <row r="149">
      <c r="A149" s="9" t="b">
        <f>IFERROR(__xludf.DUMMYFUNCTION("""COMPUTED_VALUE"""),FALSE)</f>
        <v>0</v>
      </c>
      <c r="B149" s="9" t="str">
        <f>IFERROR(__xludf.DUMMYFUNCTION("""COMPUTED_VALUE"""),"manure-left-on-pasture-cattle")</f>
        <v>manure-left-on-pasture-cattle</v>
      </c>
      <c r="C149" s="9" t="str">
        <f>IFERROR(__xludf.DUMMYFUNCTION("""COMPUTED_VALUE"""),"climate-trace")</f>
        <v>climate-trace</v>
      </c>
      <c r="D149" s="9" t="str">
        <f>IFERROR(__xludf.DUMMYFUNCTION("""COMPUTED_VALUE"""),"manure-management-other")</f>
        <v>manure-management-other</v>
      </c>
      <c r="E149" s="9">
        <f>IFERROR(__xludf.DUMMYFUNCTION("""COMPUTED_VALUE"""),-1.0)</f>
        <v>-1</v>
      </c>
    </row>
    <row r="150">
      <c r="A150" s="9" t="b">
        <f>IFERROR(__xludf.DUMMYFUNCTION("""COMPUTED_VALUE"""),FALSE)</f>
        <v>0</v>
      </c>
      <c r="B150" s="9" t="str">
        <f>IFERROR(__xludf.DUMMYFUNCTION("""COMPUTED_VALUE"""),"manure-management-cattle-feedlot")</f>
        <v>manure-management-cattle-feedlot</v>
      </c>
      <c r="C150" s="9" t="str">
        <f>IFERROR(__xludf.DUMMYFUNCTION("""COMPUTED_VALUE"""),"edgar")</f>
        <v>edgar</v>
      </c>
      <c r="D150" s="9" t="str">
        <f>IFERROR(__xludf.DUMMYFUNCTION("""COMPUTED_VALUE"""),"3.A.2 Manure Management")</f>
        <v>3.A.2 Manure Management</v>
      </c>
      <c r="E150" s="9">
        <f>IFERROR(__xludf.DUMMYFUNCTION("""COMPUTED_VALUE"""),1.0)</f>
        <v>1</v>
      </c>
    </row>
    <row r="151">
      <c r="A151" s="9" t="b">
        <f>IFERROR(__xludf.DUMMYFUNCTION("""COMPUTED_VALUE"""),FALSE)</f>
        <v>0</v>
      </c>
      <c r="B151" s="9" t="str">
        <f>IFERROR(__xludf.DUMMYFUNCTION("""COMPUTED_VALUE"""),"manure-management-cattle-feedlot")</f>
        <v>manure-management-cattle-feedlot</v>
      </c>
      <c r="C151" s="9" t="str">
        <f>IFERROR(__xludf.DUMMYFUNCTION("""COMPUTED_VALUE"""),"climate-trace")</f>
        <v>climate-trace</v>
      </c>
      <c r="D151" s="9" t="str">
        <f>IFERROR(__xludf.DUMMYFUNCTION("""COMPUTED_VALUE"""),"manure-left-on-pasture-cattle")</f>
        <v>manure-left-on-pasture-cattle</v>
      </c>
      <c r="E151" s="9">
        <f>IFERROR(__xludf.DUMMYFUNCTION("""COMPUTED_VALUE"""),-1.0)</f>
        <v>-1</v>
      </c>
    </row>
    <row r="152">
      <c r="A152" s="9" t="b">
        <f>IFERROR(__xludf.DUMMYFUNCTION("""COMPUTED_VALUE"""),FALSE)</f>
        <v>0</v>
      </c>
      <c r="B152" s="9" t="str">
        <f>IFERROR(__xludf.DUMMYFUNCTION("""COMPUTED_VALUE"""),"manure-management-cattle-feedlot")</f>
        <v>manure-management-cattle-feedlot</v>
      </c>
      <c r="C152" s="9" t="str">
        <f>IFERROR(__xludf.DUMMYFUNCTION("""COMPUTED_VALUE"""),"climate-trace")</f>
        <v>climate-trace</v>
      </c>
      <c r="D152" s="9" t="str">
        <f>IFERROR(__xludf.DUMMYFUNCTION("""COMPUTED_VALUE"""),"manure-management-other")</f>
        <v>manure-management-other</v>
      </c>
      <c r="E152" s="9">
        <f>IFERROR(__xludf.DUMMYFUNCTION("""COMPUTED_VALUE"""),-1.0)</f>
        <v>-1</v>
      </c>
    </row>
    <row r="153">
      <c r="A153" s="9" t="b">
        <f>IFERROR(__xludf.DUMMYFUNCTION("""COMPUTED_VALUE"""),FALSE)</f>
        <v>0</v>
      </c>
      <c r="B153" s="9" t="str">
        <f>IFERROR(__xludf.DUMMYFUNCTION("""COMPUTED_VALUE"""),"enteric-fermentation-other")</f>
        <v>enteric-fermentation-other</v>
      </c>
      <c r="C153" s="9" t="str">
        <f>IFERROR(__xludf.DUMMYFUNCTION("""COMPUTED_VALUE"""),"edgar")</f>
        <v>edgar</v>
      </c>
      <c r="D153" s="9" t="str">
        <f>IFERROR(__xludf.DUMMYFUNCTION("""COMPUTED_VALUE"""),"3.A.1 Enteric Fermentation")</f>
        <v>3.A.1 Enteric Fermentation</v>
      </c>
      <c r="E153" s="9">
        <f>IFERROR(__xludf.DUMMYFUNCTION("""COMPUTED_VALUE"""),1.0)</f>
        <v>1</v>
      </c>
    </row>
    <row r="154">
      <c r="A154" s="9" t="b">
        <f>IFERROR(__xludf.DUMMYFUNCTION("""COMPUTED_VALUE"""),FALSE)</f>
        <v>0</v>
      </c>
      <c r="B154" s="9" t="str">
        <f>IFERROR(__xludf.DUMMYFUNCTION("""COMPUTED_VALUE"""),"enteric-fermentation-other")</f>
        <v>enteric-fermentation-other</v>
      </c>
      <c r="C154" s="9" t="str">
        <f>IFERROR(__xludf.DUMMYFUNCTION("""COMPUTED_VALUE"""),"climate-trace")</f>
        <v>climate-trace</v>
      </c>
      <c r="D154" s="9" t="str">
        <f>IFERROR(__xludf.DUMMYFUNCTION("""COMPUTED_VALUE"""),"enteric-fermentation-cattle-feedlot")</f>
        <v>enteric-fermentation-cattle-feedlot</v>
      </c>
      <c r="E154" s="9">
        <f>IFERROR(__xludf.DUMMYFUNCTION("""COMPUTED_VALUE"""),-1.0)</f>
        <v>-1</v>
      </c>
    </row>
    <row r="155">
      <c r="A155" s="9" t="b">
        <f>IFERROR(__xludf.DUMMYFUNCTION("""COMPUTED_VALUE"""),FALSE)</f>
        <v>0</v>
      </c>
      <c r="B155" s="9" t="str">
        <f>IFERROR(__xludf.DUMMYFUNCTION("""COMPUTED_VALUE"""),"enteric-fermentation-other")</f>
        <v>enteric-fermentation-other</v>
      </c>
      <c r="C155" s="9" t="str">
        <f>IFERROR(__xludf.DUMMYFUNCTION("""COMPUTED_VALUE"""),"climate-trace")</f>
        <v>climate-trace</v>
      </c>
      <c r="D155" s="9" t="str">
        <f>IFERROR(__xludf.DUMMYFUNCTION("""COMPUTED_VALUE"""),"enteric-fermentation-cattle-pasture")</f>
        <v>enteric-fermentation-cattle-pasture</v>
      </c>
      <c r="E155" s="9">
        <f>IFERROR(__xludf.DUMMYFUNCTION("""COMPUTED_VALUE"""),-1.0)</f>
        <v>-1</v>
      </c>
    </row>
    <row r="156">
      <c r="A156" s="9" t="b">
        <f>IFERROR(__xludf.DUMMYFUNCTION("""COMPUTED_VALUE"""),FALSE)</f>
        <v>0</v>
      </c>
      <c r="B156" s="9" t="str">
        <f>IFERROR(__xludf.DUMMYFUNCTION("""COMPUTED_VALUE"""),"manure-management-other")</f>
        <v>manure-management-other</v>
      </c>
      <c r="C156" s="9" t="str">
        <f>IFERROR(__xludf.DUMMYFUNCTION("""COMPUTED_VALUE"""),"edgar")</f>
        <v>edgar</v>
      </c>
      <c r="D156" s="9" t="str">
        <f>IFERROR(__xludf.DUMMYFUNCTION("""COMPUTED_VALUE"""),"3.A.2 Manure Management")</f>
        <v>3.A.2 Manure Management</v>
      </c>
      <c r="E156" s="9">
        <f>IFERROR(__xludf.DUMMYFUNCTION("""COMPUTED_VALUE"""),1.0)</f>
        <v>1</v>
      </c>
    </row>
    <row r="157">
      <c r="A157" s="9" t="b">
        <f>IFERROR(__xludf.DUMMYFUNCTION("""COMPUTED_VALUE"""),FALSE)</f>
        <v>0</v>
      </c>
      <c r="B157" s="9" t="str">
        <f>IFERROR(__xludf.DUMMYFUNCTION("""COMPUTED_VALUE"""),"manure-management-other")</f>
        <v>manure-management-other</v>
      </c>
      <c r="C157" s="9" t="str">
        <f>IFERROR(__xludf.DUMMYFUNCTION("""COMPUTED_VALUE"""),"climate-trace")</f>
        <v>climate-trace</v>
      </c>
      <c r="D157" s="9" t="str">
        <f>IFERROR(__xludf.DUMMYFUNCTION("""COMPUTED_VALUE"""),"manure-left-on-pasture-cattle")</f>
        <v>manure-left-on-pasture-cattle</v>
      </c>
      <c r="E157" s="9">
        <f>IFERROR(__xludf.DUMMYFUNCTION("""COMPUTED_VALUE"""),-1.0)</f>
        <v>-1</v>
      </c>
    </row>
    <row r="158">
      <c r="A158" s="9" t="b">
        <f>IFERROR(__xludf.DUMMYFUNCTION("""COMPUTED_VALUE"""),FALSE)</f>
        <v>0</v>
      </c>
      <c r="B158" s="9" t="str">
        <f>IFERROR(__xludf.DUMMYFUNCTION("""COMPUTED_VALUE"""),"manure-management-other")</f>
        <v>manure-management-other</v>
      </c>
      <c r="C158" s="9" t="str">
        <f>IFERROR(__xludf.DUMMYFUNCTION("""COMPUTED_VALUE"""),"climate-trace")</f>
        <v>climate-trace</v>
      </c>
      <c r="D158" s="9" t="str">
        <f>IFERROR(__xludf.DUMMYFUNCTION("""COMPUTED_VALUE"""),"manure-management-cattle-feedlot")</f>
        <v>manure-management-cattle-feedlot</v>
      </c>
      <c r="E158" s="9">
        <f>IFERROR(__xludf.DUMMYFUNCTION("""COMPUTED_VALUE"""),-1.0)</f>
        <v>-1</v>
      </c>
    </row>
    <row r="159">
      <c r="A159" s="9" t="b">
        <f>IFERROR(__xludf.DUMMYFUNCTION("""COMPUTED_VALUE"""),FALSE)</f>
        <v>0</v>
      </c>
      <c r="B159" s="9" t="str">
        <f>IFERROR(__xludf.DUMMYFUNCTION("""COMPUTED_VALUE"""),"enteric-fermentation-cattle-pasture")</f>
        <v>enteric-fermentation-cattle-pasture</v>
      </c>
      <c r="C159" s="9" t="str">
        <f>IFERROR(__xludf.DUMMYFUNCTION("""COMPUTED_VALUE"""),"edgar")</f>
        <v>edgar</v>
      </c>
      <c r="D159" s="9" t="str">
        <f>IFERROR(__xludf.DUMMYFUNCTION("""COMPUTED_VALUE"""),"3.A.1 Enteric Fermentation")</f>
        <v>3.A.1 Enteric Fermentation</v>
      </c>
      <c r="E159" s="9">
        <f>IFERROR(__xludf.DUMMYFUNCTION("""COMPUTED_VALUE"""),1.0)</f>
        <v>1</v>
      </c>
    </row>
    <row r="160">
      <c r="A160" s="9" t="b">
        <f>IFERROR(__xludf.DUMMYFUNCTION("""COMPUTED_VALUE"""),FALSE)</f>
        <v>0</v>
      </c>
      <c r="B160" s="9" t="str">
        <f>IFERROR(__xludf.DUMMYFUNCTION("""COMPUTED_VALUE"""),"enteric-fermentation-cattle-pasture")</f>
        <v>enteric-fermentation-cattle-pasture</v>
      </c>
      <c r="C160" s="9" t="str">
        <f>IFERROR(__xludf.DUMMYFUNCTION("""COMPUTED_VALUE"""),"climate-trace")</f>
        <v>climate-trace</v>
      </c>
      <c r="D160" s="9" t="str">
        <f>IFERROR(__xludf.DUMMYFUNCTION("""COMPUTED_VALUE"""),"enteric-fermentation-cattle-feedlot")</f>
        <v>enteric-fermentation-cattle-feedlot</v>
      </c>
      <c r="E160" s="9">
        <f>IFERROR(__xludf.DUMMYFUNCTION("""COMPUTED_VALUE"""),-1.0)</f>
        <v>-1</v>
      </c>
    </row>
    <row r="161">
      <c r="A161" s="9" t="b">
        <f>IFERROR(__xludf.DUMMYFUNCTION("""COMPUTED_VALUE"""),FALSE)</f>
        <v>0</v>
      </c>
      <c r="B161" s="9" t="str">
        <f>IFERROR(__xludf.DUMMYFUNCTION("""COMPUTED_VALUE"""),"enteric-fermentation-cattle-pasture")</f>
        <v>enteric-fermentation-cattle-pasture</v>
      </c>
      <c r="C161" s="9" t="str">
        <f>IFERROR(__xludf.DUMMYFUNCTION("""COMPUTED_VALUE"""),"climate-trace")</f>
        <v>climate-trace</v>
      </c>
      <c r="D161" s="9" t="str">
        <f>IFERROR(__xludf.DUMMYFUNCTION("""COMPUTED_VALUE"""),"enteric-fermentation-other")</f>
        <v>enteric-fermentation-other</v>
      </c>
      <c r="E161" s="9">
        <f>IFERROR(__xludf.DUMMYFUNCTION("""COMPUTED_VALUE"""),-1.0)</f>
        <v>-1</v>
      </c>
    </row>
    <row r="162">
      <c r="A162" s="9" t="b">
        <f>IFERROR(__xludf.DUMMYFUNCTION("""COMPUTED_VALUE"""),FALSE)</f>
        <v>0</v>
      </c>
      <c r="B162" s="9" t="str">
        <f>IFERROR(__xludf.DUMMYFUNCTION("""COMPUTED_VALUE"""),"rice-cultivation")</f>
        <v>rice-cultivation</v>
      </c>
      <c r="C162" s="9" t="str">
        <f>IFERROR(__xludf.DUMMYFUNCTION("""COMPUTED_VALUE"""),"edgar")</f>
        <v>edgar</v>
      </c>
      <c r="D162" s="9" t="str">
        <f>IFERROR(__xludf.DUMMYFUNCTION("""COMPUTED_VALUE"""),"3.C.7 Rice cultivations")</f>
        <v>3.C.7 Rice cultivations</v>
      </c>
      <c r="E162" s="9">
        <f>IFERROR(__xludf.DUMMYFUNCTION("""COMPUTED_VALUE"""),1.0)</f>
        <v>1</v>
      </c>
    </row>
    <row r="163">
      <c r="A163" s="9" t="b">
        <f>IFERROR(__xludf.DUMMYFUNCTION("""COMPUTED_VALUE"""),FALSE)</f>
        <v>0</v>
      </c>
      <c r="B163" s="9" t="str">
        <f>IFERROR(__xludf.DUMMYFUNCTION("""COMPUTED_VALUE"""),"synthetic-fertilizer-application")</f>
        <v>synthetic-fertilizer-application</v>
      </c>
      <c r="C163" s="9" t="str">
        <f>IFERROR(__xludf.DUMMYFUNCTION("""COMPUTED_VALUE"""),"edgar")</f>
        <v>edgar</v>
      </c>
      <c r="D163" s="9" t="str">
        <f>IFERROR(__xludf.DUMMYFUNCTION("""COMPUTED_VALUE"""),"3.C.4 Direct N2O Emissions from managed soils")</f>
        <v>3.C.4 Direct N2O Emissions from managed soils</v>
      </c>
      <c r="E163" s="9">
        <f>IFERROR(__xludf.DUMMYFUNCTION("""COMPUTED_VALUE"""),1.0)</f>
        <v>1</v>
      </c>
    </row>
    <row r="164">
      <c r="A164" s="9" t="b">
        <f>IFERROR(__xludf.DUMMYFUNCTION("""COMPUTED_VALUE"""),FALSE)</f>
        <v>0</v>
      </c>
      <c r="B164" s="9" t="str">
        <f>IFERROR(__xludf.DUMMYFUNCTION("""COMPUTED_VALUE"""),"forest-land-fires")</f>
        <v>forest-land-fires</v>
      </c>
      <c r="C164" s="9"/>
      <c r="D164" s="9"/>
      <c r="E164" s="9"/>
    </row>
    <row r="165">
      <c r="A165" s="9" t="b">
        <f>IFERROR(__xludf.DUMMYFUNCTION("""COMPUTED_VALUE"""),FALSE)</f>
        <v>0</v>
      </c>
      <c r="B165" s="9" t="str">
        <f>IFERROR(__xludf.DUMMYFUNCTION("""COMPUTED_VALUE"""),"forest-land-clearing")</f>
        <v>forest-land-clearing</v>
      </c>
      <c r="C165" s="9"/>
      <c r="D165" s="9"/>
      <c r="E165" s="9"/>
    </row>
    <row r="166">
      <c r="A166" s="9" t="b">
        <f>IFERROR(__xludf.DUMMYFUNCTION("""COMPUTED_VALUE"""),FALSE)</f>
        <v>0</v>
      </c>
      <c r="B166" s="9" t="str">
        <f>IFERROR(__xludf.DUMMYFUNCTION("""COMPUTED_VALUE"""),"forest-land-degradation")</f>
        <v>forest-land-degradation</v>
      </c>
      <c r="C166" s="9"/>
      <c r="D166" s="9"/>
      <c r="E166" s="9"/>
    </row>
    <row r="167">
      <c r="A167" s="9" t="b">
        <f>IFERROR(__xludf.DUMMYFUNCTION("""COMPUTED_VALUE"""),FALSE)</f>
        <v>0</v>
      </c>
      <c r="B167" s="9" t="str">
        <f>IFERROR(__xludf.DUMMYFUNCTION("""COMPUTED_VALUE"""),"net-forest-land")</f>
        <v>net-forest-land</v>
      </c>
      <c r="C167" s="9"/>
      <c r="D167" s="9"/>
      <c r="E167" s="9"/>
    </row>
    <row r="168">
      <c r="A168" s="9" t="b">
        <f>IFERROR(__xludf.DUMMYFUNCTION("""COMPUTED_VALUE"""),FALSE)</f>
        <v>0</v>
      </c>
      <c r="B168" s="9" t="str">
        <f>IFERROR(__xludf.DUMMYFUNCTION("""COMPUTED_VALUE"""),"net-shrubgrass")</f>
        <v>net-shrubgrass</v>
      </c>
      <c r="C168" s="9"/>
      <c r="D168" s="9"/>
      <c r="E168" s="9"/>
    </row>
    <row r="169">
      <c r="A169" s="9" t="b">
        <f>IFERROR(__xludf.DUMMYFUNCTION("""COMPUTED_VALUE"""),FALSE)</f>
        <v>0</v>
      </c>
      <c r="B169" s="9" t="str">
        <f>IFERROR(__xludf.DUMMYFUNCTION("""COMPUTED_VALUE"""),"net-wetland")</f>
        <v>net-wetland</v>
      </c>
      <c r="C169" s="9"/>
      <c r="D169" s="9"/>
      <c r="E169" s="9"/>
    </row>
    <row r="170">
      <c r="A170" s="9" t="b">
        <f>IFERROR(__xludf.DUMMYFUNCTION("""COMPUTED_VALUE"""),FALSE)</f>
        <v>0</v>
      </c>
      <c r="B170" s="9" t="str">
        <f>IFERROR(__xludf.DUMMYFUNCTION("""COMPUTED_VALUE"""),"shrubgrass-fires")</f>
        <v>shrubgrass-fires</v>
      </c>
      <c r="C170" s="9"/>
      <c r="D170" s="9"/>
      <c r="E170" s="9"/>
    </row>
    <row r="171">
      <c r="A171" s="9" t="b">
        <f>IFERROR(__xludf.DUMMYFUNCTION("""COMPUTED_VALUE"""),FALSE)</f>
        <v>0</v>
      </c>
      <c r="B171" s="9" t="str">
        <f>IFERROR(__xludf.DUMMYFUNCTION("""COMPUTED_VALUE"""),"wetland-fires")</f>
        <v>wetland-fires</v>
      </c>
      <c r="C171" s="9"/>
      <c r="D171" s="9"/>
      <c r="E171" s="9"/>
    </row>
    <row r="172">
      <c r="A172" s="9" t="b">
        <f>IFERROR(__xludf.DUMMYFUNCTION("""COMPUTED_VALUE"""),FALSE)</f>
        <v>0</v>
      </c>
      <c r="B172" s="9" t="str">
        <f>IFERROR(__xludf.DUMMYFUNCTION("""COMPUTED_VALUE"""),"removals")</f>
        <v>removals</v>
      </c>
      <c r="C172" s="9"/>
      <c r="D172" s="9"/>
      <c r="E172" s="9"/>
    </row>
    <row r="173">
      <c r="A173" s="9" t="b">
        <f>IFERROR(__xludf.DUMMYFUNCTION("""COMPUTED_VALUE"""),FALSE)</f>
        <v>0</v>
      </c>
      <c r="B173" s="9" t="str">
        <f>IFERROR(__xludf.DUMMYFUNCTION("""COMPUTED_VALUE"""),"water-reservoirs")</f>
        <v>water-reservoirs</v>
      </c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4" max="4" width="32.63"/>
  </cols>
  <sheetData>
    <row r="1">
      <c r="A1" s="8" t="str">
        <f>IFERROR(__xludf.DUMMYFUNCTION("IMPORTRANGE(""https://docs.google.com/spreadsheets/d/1crBeTIm7isN5EkvLbmkhoZYJqep1xzNwDVNnIu94l6E/edit#gid=0"", ""cait-graph-utility!A1:E200"")"),"Annex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IFERROR(__xludf.DUMMYFUNCTION("""COMPUTED_VALUE"""),"cait")</f>
        <v>cait</v>
      </c>
      <c r="D2" s="9" t="str">
        <f>IFERROR(__xludf.DUMMYFUNCTION("""COMPUTED_VALUE"""),"Electricity/Heat")</f>
        <v>Electricity/Heat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 Heat Plants")</f>
        <v>1.A.1.a.iii 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IFERROR(__xludf.DUMMYFUNCTION("""COMPUTED_VALUE"""),"domestic-aviation")</f>
        <v>domestic-aviation</v>
      </c>
      <c r="C5" s="9" t="str">
        <f>IFERROR(__xludf.DUMMYFUNCTION("""COMPUTED_VALUE"""),"cait")</f>
        <v>cait</v>
      </c>
      <c r="D5" s="9" t="str">
        <f>IFERROR(__xludf.DUMMYFUNCTION("""COMPUTED_VALUE"""),"Transportation")</f>
        <v>Transportation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IFERROR(__xludf.DUMMYFUNCTION("""COMPUTED_VALUE"""),"1.A.3.b  Road Transportation")</f>
        <v>1.A.3.b  Road Transportation</v>
      </c>
      <c r="E6" s="9">
        <f>IFERROR(__xludf.DUMMYFUNCTION("""COMPUTED_VALUE"""),-1.0)</f>
        <v>-1</v>
      </c>
    </row>
    <row r="7">
      <c r="A7" s="9" t="b">
        <f>IFERROR(__xludf.DUMMYFUNCTION("""COMPUTED_VALUE"""),TRUE)</f>
        <v>1</v>
      </c>
      <c r="B7" s="9" t="str">
        <f>IFERROR(__xludf.DUMMYFUNCTION("""COMPUTED_VALUE"""),"domestic-aviation")</f>
        <v>domestic-aviation</v>
      </c>
      <c r="C7" s="9" t="str">
        <f>IFERROR(__xludf.DUMMYFUNCTION("""COMPUTED_VALUE"""),"unfccc_annex_1")</f>
        <v>unfccc_annex_1</v>
      </c>
      <c r="D7" s="9" t="str">
        <f>IFERROR(__xludf.DUMMYFUNCTION("""COMPUTED_VALUE"""),"1.A.3.c  Railways")</f>
        <v>1.A.3.c  Railways</v>
      </c>
      <c r="E7" s="9">
        <f>IFERROR(__xludf.DUMMYFUNCTION("""COMPUTED_VALUE"""),-1.0)</f>
        <v>-1</v>
      </c>
    </row>
    <row r="8">
      <c r="A8" s="9" t="b">
        <f>IFERROR(__xludf.DUMMYFUNCTION("""COMPUTED_VALUE"""),TRUE)</f>
        <v>1</v>
      </c>
      <c r="B8" s="9" t="str">
        <f>IFERROR(__xludf.DUMMYFUNCTION("""COMPUTED_VALUE"""),"domestic-aviation")</f>
        <v>domestic-aviation</v>
      </c>
      <c r="C8" s="9" t="str">
        <f>IFERROR(__xludf.DUMMYFUNCTION("""COMPUTED_VALUE"""),"unfccc_annex_1")</f>
        <v>unfccc_annex_1</v>
      </c>
      <c r="D8" s="9" t="str">
        <f>IFERROR(__xludf.DUMMYFUNCTION("""COMPUTED_VALUE"""),"1.A.3.d  Domestic Navigation")</f>
        <v>1.A.3.d  Domestic Navigation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IFERROR(__xludf.DUMMYFUNCTION("""COMPUTED_VALUE"""),"domestic-aviation")</f>
        <v>domestic-aviation</v>
      </c>
      <c r="C9" s="9" t="str">
        <f>IFERROR(__xludf.DUMMYFUNCTION("""COMPUTED_VALUE"""),"unfccc_annex_1")</f>
        <v>unfccc_annex_1</v>
      </c>
      <c r="D9" s="9" t="str">
        <f>IFERROR(__xludf.DUMMYFUNCTION("""COMPUTED_VALUE"""),"1.A.3.e  Other Transportation")</f>
        <v>1.A.3.e  Other Transportation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IFERROR(__xludf.DUMMYFUNCTION("""COMPUTED_VALUE"""),"international-aviation")</f>
        <v>international-aviation</v>
      </c>
      <c r="C10" s="9"/>
      <c r="D10" s="9"/>
      <c r="E10" s="9"/>
    </row>
    <row r="11">
      <c r="A11" s="9" t="b">
        <f>IFERROR(__xludf.DUMMYFUNCTION("""COMPUTED_VALUE"""),TRUE)</f>
        <v>1</v>
      </c>
      <c r="B11" s="9" t="str">
        <f>IFERROR(__xludf.DUMMYFUNCTION("""COMPUTED_VALUE"""),"international-shipping")</f>
        <v>international-shipping</v>
      </c>
      <c r="C11" s="9"/>
      <c r="D11" s="9"/>
      <c r="E11" s="9"/>
    </row>
    <row r="12">
      <c r="A12" s="9" t="b">
        <f>IFERROR(__xludf.DUMMYFUNCTION("""COMPUTED_VALUE"""),TRUE)</f>
        <v>1</v>
      </c>
      <c r="B12" s="9" t="str">
        <f>IFERROR(__xludf.DUMMYFUNCTION("""COMPUTED_VALUE"""),"domestic-shipping")</f>
        <v>domestic-shipping</v>
      </c>
      <c r="C12" s="9" t="str">
        <f>IFERROR(__xludf.DUMMYFUNCTION("""COMPUTED_VALUE"""),"cait")</f>
        <v>cait</v>
      </c>
      <c r="D12" s="9" t="str">
        <f>IFERROR(__xludf.DUMMYFUNCTION("""COMPUTED_VALUE"""),"Transportation")</f>
        <v>Transportation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IFERROR(__xludf.DUMMYFUNCTION("""COMPUTED_VALUE"""),"domestic-shipping")</f>
        <v>domestic-shipping</v>
      </c>
      <c r="C13" s="9" t="str">
        <f>IFERROR(__xludf.DUMMYFUNCTION("""COMPUTED_VALUE"""),"unfccc_annex_1")</f>
        <v>unfccc_annex_1</v>
      </c>
      <c r="D13" s="9" t="str">
        <f>IFERROR(__xludf.DUMMYFUNCTION("""COMPUTED_VALUE"""),"1.A.3.a  Domestic Aviation")</f>
        <v>1.A.3.a  Domestic Aviation</v>
      </c>
      <c r="E13" s="9">
        <f>IFERROR(__xludf.DUMMYFUNCTION("""COMPUTED_VALUE"""),-1.0)</f>
        <v>-1</v>
      </c>
    </row>
    <row r="14">
      <c r="A14" s="9" t="b">
        <f>IFERROR(__xludf.DUMMYFUNCTION("""COMPUTED_VALUE"""),TRUE)</f>
        <v>1</v>
      </c>
      <c r="B14" s="9" t="str">
        <f>IFERROR(__xludf.DUMMYFUNCTION("""COMPUTED_VALUE"""),"domestic-shipping")</f>
        <v>domestic-shipping</v>
      </c>
      <c r="C14" s="9" t="str">
        <f>IFERROR(__xludf.DUMMYFUNCTION("""COMPUTED_VALUE"""),"unfccc_annex_1")</f>
        <v>unfccc_annex_1</v>
      </c>
      <c r="D14" s="9" t="str">
        <f>IFERROR(__xludf.DUMMYFUNCTION("""COMPUTED_VALUE"""),"1.A.3.b  Road Transportation")</f>
        <v>1.A.3.b  Road Transportation</v>
      </c>
      <c r="E14" s="9">
        <f>IFERROR(__xludf.DUMMYFUNCTION("""COMPUTED_VALUE"""),-1.0)</f>
        <v>-1</v>
      </c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 t="str">
        <f>IFERROR(__xludf.DUMMYFUNCTION("""COMPUTED_VALUE"""),"unfccc_annex_1")</f>
        <v>unfccc_annex_1</v>
      </c>
      <c r="D15" s="9" t="str">
        <f>IFERROR(__xludf.DUMMYFUNCTION("""COMPUTED_VALUE"""),"1.A.3.c  Railways")</f>
        <v>1.A.3.c  Railways</v>
      </c>
      <c r="E15" s="9">
        <f>IFERROR(__xludf.DUMMYFUNCTION("""COMPUTED_VALUE"""),-1.0)</f>
        <v>-1</v>
      </c>
    </row>
    <row r="16">
      <c r="A16" s="9" t="b">
        <f>IFERROR(__xludf.DUMMYFUNCTION("""COMPUTED_VALUE"""),TRUE)</f>
        <v>1</v>
      </c>
      <c r="B16" s="9" t="str">
        <f>IFERROR(__xludf.DUMMYFUNCTION("""COMPUTED_VALUE"""),"domestic-shipping")</f>
        <v>domestic-shipping</v>
      </c>
      <c r="C16" s="9" t="str">
        <f>IFERROR(__xludf.DUMMYFUNCTION("""COMPUTED_VALUE"""),"unfccc_annex_1")</f>
        <v>unfccc_annex_1</v>
      </c>
      <c r="D16" s="9" t="str">
        <f>IFERROR(__xludf.DUMMYFUNCTION("""COMPUTED_VALUE"""),"1.A.3.e  Other Transportation")</f>
        <v>1.A.3.e  Other Transportation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IFERROR(__xludf.DUMMYFUNCTION("""COMPUTED_VALUE"""),"cait")</f>
        <v>cait</v>
      </c>
      <c r="D17" s="9" t="str">
        <f>IFERROR(__xludf.DUMMYFUNCTION("""COMPUTED_VALUE"""),"Fugitive Emissions")</f>
        <v>Fugitive Emissions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IFERROR(__xludf.DUMMYFUNCTION("""COMPUTED_VALUE"""),"1.B.1.b  Solid Fuel Transformation")</f>
        <v>1.B.1.b  Solid Fuel Transformation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IFERROR(__xludf.DUMMYFUNCTION("""COMPUTED_VALUE"""),"coal-mining")</f>
        <v>coal-mining</v>
      </c>
      <c r="C19" s="9" t="str">
        <f>IFERROR(__xludf.DUMMYFUNCTION("""COMPUTED_VALUE"""),"unfccc_annex_1")</f>
        <v>unfccc_annex_1</v>
      </c>
      <c r="D19" s="9" t="str">
        <f>IFERROR(__xludf.DUMMYFUNCTION("""COMPUTED_VALUE"""),"1.B.1.c  Other")</f>
        <v>1.B.1.c  Other</v>
      </c>
      <c r="E19" s="9">
        <f>IFERROR(__xludf.DUMMYFUNCTION("""COMPUTED_VALUE"""),-1.0)</f>
        <v>-1</v>
      </c>
    </row>
    <row r="20">
      <c r="A20" s="9" t="b">
        <f>IFERROR(__xludf.DUMMYFUNCTION("""COMPUTED_VALUE"""),TRUE)</f>
        <v>1</v>
      </c>
      <c r="B20" s="9" t="str">
        <f>IFERROR(__xludf.DUMMYFUNCTION("""COMPUTED_VALUE"""),"coal-mining")</f>
        <v>coal-mining</v>
      </c>
      <c r="C20" s="9" t="str">
        <f>IFERROR(__xludf.DUMMYFUNCTION("""COMPUTED_VALUE"""),"unfccc_annex_1")</f>
        <v>unfccc_annex_1</v>
      </c>
      <c r="D20" s="9" t="str">
        <f>IFERROR(__xludf.DUMMYFUNCTION("""COMPUTED_VALUE"""),"1.B.2  Oil and Natural Gas and Other Emissions from Energy Production")</f>
        <v>1.B.2  Oil and Natural Gas and Other Emissions from Energy Production</v>
      </c>
      <c r="E20" s="9">
        <f>IFERROR(__xludf.DUMMYFUNCTION("""COMPUTED_VALUE"""),-1.0)</f>
        <v>-1</v>
      </c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IFERROR(__xludf.DUMMYFUNCTION("""COMPUTED_VALUE"""),"cait")</f>
        <v>cait</v>
      </c>
      <c r="D21" s="9" t="str">
        <f>IFERROR(__xludf.DUMMYFUNCTION("""COMPUTED_VALUE"""),"Fugitive Emissions")</f>
        <v>Fugitive Emissions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IFERROR(__xludf.DUMMYFUNCTION("""COMPUTED_VALUE"""),"1.B.1  Solid Fuels")</f>
        <v>1.B.1  Solid Fuels</v>
      </c>
      <c r="E22" s="9">
        <f>IFERROR(__xludf.DUMMYFUNCTION("""COMPUTED_VALUE"""),-1.0)</f>
        <v>-1</v>
      </c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IFERROR(__xludf.DUMMYFUNCTION("""COMPUTED_VALUE"""),"1.B.2.c  Venting and Flaring")</f>
        <v>1.B.2.c  Venting and Flaring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IFERROR(__xludf.DUMMYFUNCTION("""COMPUTED_VALUE"""),"1.B.2.a.v  Distribution of Oil Products")</f>
        <v>1.B.2.a.v  Distribution of Oil Products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IFERROR(__xludf.DUMMYFUNCTION("""COMPUTED_VALUE"""),"1.B.2.a.vi  Other")</f>
        <v>1.B.2.a.vi  Other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IFERROR(__xludf.DUMMYFUNCTION("""COMPUTED_VALUE"""),"oil-and-gas-production-and-transport")</f>
        <v>oil-and-gas-production-and-transport</v>
      </c>
      <c r="C26" s="9" t="str">
        <f>IFERROR(__xludf.DUMMYFUNCTION("""COMPUTED_VALUE"""),"unfccc_annex_1")</f>
        <v>unfccc_annex_1</v>
      </c>
      <c r="D26" s="9" t="str">
        <f>IFERROR(__xludf.DUMMYFUNCTION("""COMPUTED_VALUE"""),"1.B.2.b.v  Distribution")</f>
        <v>1.B.2.b.v  Distribution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IFERROR(__xludf.DUMMYFUNCTION("""COMPUTED_VALUE"""),"oil-and-gas-production-and-transport")</f>
        <v>oil-and-gas-production-and-transport</v>
      </c>
      <c r="C27" s="9" t="str">
        <f>IFERROR(__xludf.DUMMYFUNCTION("""COMPUTED_VALUE"""),"unfccc_annex_1")</f>
        <v>unfccc_annex_1</v>
      </c>
      <c r="D27" s="9" t="str">
        <f>IFERROR(__xludf.DUMMYFUNCTION("""COMPUTED_VALUE"""),"1.B.2.b.vi  Other")</f>
        <v>1.B.2.b.vi  Other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IFERROR(__xludf.DUMMYFUNCTION("""COMPUTED_VALUE"""),"oil-and-gas-refining")</f>
        <v>oil-and-gas-refining</v>
      </c>
      <c r="C28" s="9"/>
      <c r="D28" s="9"/>
      <c r="E28" s="9"/>
    </row>
    <row r="29">
      <c r="A29" s="9" t="b">
        <f>IFERROR(__xludf.DUMMYFUNCTION("""COMPUTED_VALUE"""),TRUE)</f>
        <v>1</v>
      </c>
      <c r="B29" s="9" t="str">
        <f>IFERROR(__xludf.DUMMYFUNCTION("""COMPUTED_VALUE"""),"petrochemicals")</f>
        <v>petrochemicals</v>
      </c>
      <c r="C29" s="9"/>
      <c r="D29" s="9"/>
      <c r="E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/>
      <c r="D30" s="9"/>
      <c r="E30" s="9"/>
    </row>
    <row r="31">
      <c r="A31" s="9" t="b">
        <f>IFERROR(__xludf.DUMMYFUNCTION("""COMPUTED_VALUE"""),TRUE)</f>
        <v>1</v>
      </c>
      <c r="B31" s="9" t="str">
        <f>IFERROR(__xludf.DUMMYFUNCTION("""COMPUTED_VALUE"""),"chemicals")</f>
        <v>chemicals</v>
      </c>
      <c r="C31" s="9"/>
      <c r="D31" s="9"/>
      <c r="E31" s="9"/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IFERROR(__xludf.DUMMYFUNCTION("""COMPUTED_VALUE"""),"cait")</f>
        <v>cait</v>
      </c>
      <c r="D32" s="9" t="str">
        <f>IFERROR(__xludf.DUMMYFUNCTION("""COMPUTED_VALUE"""),"Manufacturing/Construction")</f>
        <v>Manufacturing/Construction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IFERROR(__xludf.DUMMYFUNCTION("""COMPUTED_VALUE"""),"1.A.2.b  Non-Ferrous Metals")</f>
        <v>1.A.2.b  Non-Ferrous Metals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IFERROR(__xludf.DUMMYFUNCTION("""COMPUTED_VALUE"""),"1.A.2.c  Chemicals")</f>
        <v>1.A.2.c  Chemicals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IFERROR(__xludf.DUMMYFUNCTION("""COMPUTED_VALUE"""),"1.A.2.d  Pulp, Paper and Print")</f>
        <v>1.A.2.d  Pulp, Paper and Print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IFERROR(__xludf.DUMMYFUNCTION("""COMPUTED_VALUE"""),"1.A.2.e  Food Processing, Beverages and Tobacco")</f>
        <v>1.A.2.e  Food Processing, Beverages and Tobacco</v>
      </c>
      <c r="E36" s="9">
        <f>IFERROR(__xludf.DUMMYFUNCTION("""COMPUTED_VALUE"""),-1.0)</f>
        <v>-1</v>
      </c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IFERROR(__xludf.DUMMYFUNCTION("""COMPUTED_VALUE"""),-1.0)</f>
        <v>-1</v>
      </c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IFERROR(__xludf.DUMMYFUNCTION("""COMPUTED_VALUE"""),"1.A.2.g  Other")</f>
        <v>1.A.2.g  Other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/>
      <c r="D39" s="9"/>
      <c r="E39" s="9"/>
    </row>
    <row r="40">
      <c r="A40" s="9" t="b">
        <f>IFERROR(__xludf.DUMMYFUNCTION("""COMPUTED_VALUE"""),TRUE)</f>
        <v>1</v>
      </c>
      <c r="B40" s="9" t="str">
        <f>IFERROR(__xludf.DUMMYFUNCTION("""COMPUTED_VALUE"""),"pulp-and-paper")</f>
        <v>pulp-and-paper</v>
      </c>
      <c r="C40" s="9" t="str">
        <f>IFERROR(__xludf.DUMMYFUNCTION("""COMPUTED_VALUE"""),"cait")</f>
        <v>cait</v>
      </c>
      <c r="D40" s="9" t="str">
        <f>IFERROR(__xludf.DUMMYFUNCTION("""COMPUTED_VALUE"""),"Manufacturing/Construction")</f>
        <v>Manufacturing/Construction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IFERROR(__xludf.DUMMYFUNCTION("""COMPUTED_VALUE"""),"pulp-and-paper")</f>
        <v>pulp-and-paper</v>
      </c>
      <c r="C41" s="9" t="str">
        <f>IFERROR(__xludf.DUMMYFUNCTION("""COMPUTED_VALUE"""),"unfccc_annex_1")</f>
        <v>unfccc_annex_1</v>
      </c>
      <c r="D41" s="9" t="str">
        <f>IFERROR(__xludf.DUMMYFUNCTION("""COMPUTED_VALUE"""),"1.A.2.a  Iron and Steel")</f>
        <v>1.A.2.a  Iron and Steel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IFERROR(__xludf.DUMMYFUNCTION("""COMPUTED_VALUE"""),"pulp-and-paper")</f>
        <v>pulp-and-paper</v>
      </c>
      <c r="C42" s="9" t="str">
        <f>IFERROR(__xludf.DUMMYFUNCTION("""COMPUTED_VALUE"""),"unfccc_annex_1")</f>
        <v>unfccc_annex_1</v>
      </c>
      <c r="D42" s="9" t="str">
        <f>IFERROR(__xludf.DUMMYFUNCTION("""COMPUTED_VALUE"""),"1.A.2.b  Non-Ferrous Metals")</f>
        <v>1.A.2.b  Non-Ferrous Metals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IFERROR(__xludf.DUMMYFUNCTION("""COMPUTED_VALUE"""),"pulp-and-paper")</f>
        <v>pulp-and-paper</v>
      </c>
      <c r="C43" s="9" t="str">
        <f>IFERROR(__xludf.DUMMYFUNCTION("""COMPUTED_VALUE"""),"unfccc_annex_1")</f>
        <v>unfccc_annex_1</v>
      </c>
      <c r="D43" s="9" t="str">
        <f>IFERROR(__xludf.DUMMYFUNCTION("""COMPUTED_VALUE"""),"1.A.2.c  Chemicals")</f>
        <v>1.A.2.c  Chemicals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IFERROR(__xludf.DUMMYFUNCTION("""COMPUTED_VALUE"""),"pulp-and-paper")</f>
        <v>pulp-and-paper</v>
      </c>
      <c r="C44" s="9" t="str">
        <f>IFERROR(__xludf.DUMMYFUNCTION("""COMPUTED_VALUE"""),"unfccc_annex_1")</f>
        <v>unfccc_annex_1</v>
      </c>
      <c r="D44" s="9" t="str">
        <f>IFERROR(__xludf.DUMMYFUNCTION("""COMPUTED_VALUE"""),"1.A.2.e  Food Processing, Beverages and Tobacco")</f>
        <v>1.A.2.e  Food Processing, Beverages and Tobacco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IFERROR(__xludf.DUMMYFUNCTION("""COMPUTED_VALUE"""),"pulp-and-paper")</f>
        <v>pulp-and-paper</v>
      </c>
      <c r="C45" s="9" t="str">
        <f>IFERROR(__xludf.DUMMYFUNCTION("""COMPUTED_VALUE"""),"unfccc_annex_1")</f>
        <v>unfccc_annex_1</v>
      </c>
      <c r="D45" s="9" t="str">
        <f>IFERROR(__xludf.DUMMYFUNCTION("""COMPUTED_VALUE"""),"1.A.2.f  Non-metallic Minerals")</f>
        <v>1.A.2.f  Non-metallic Minerals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IFERROR(__xludf.DUMMYFUNCTION("""COMPUTED_VALUE"""),"pulp-and-paper")</f>
        <v>pulp-and-paper</v>
      </c>
      <c r="C46" s="9" t="str">
        <f>IFERROR(__xludf.DUMMYFUNCTION("""COMPUTED_VALUE"""),"unfccc_annex_1")</f>
        <v>unfccc_annex_1</v>
      </c>
      <c r="D46" s="9" t="str">
        <f>IFERROR(__xludf.DUMMYFUNCTION("""COMPUTED_VALUE"""),"1.A.2.g  Other")</f>
        <v>1.A.2.g  Other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IFERROR(__xludf.DUMMYFUNCTION("""COMPUTED_VALUE"""),"mining-and-quarrying")</f>
        <v>mining-and-quarrying</v>
      </c>
      <c r="C47" s="9" t="str">
        <f>IFERROR(__xludf.DUMMYFUNCTION("""COMPUTED_VALUE"""),"cait")</f>
        <v>cait</v>
      </c>
      <c r="D47" s="9" t="str">
        <f>IFERROR(__xludf.DUMMYFUNCTION("""COMPUTED_VALUE"""),"Manufacturing/Construction")</f>
        <v>Manufacturing/Construction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IFERROR(__xludf.DUMMYFUNCTION("""COMPUTED_VALUE"""),"mining-and-quarrying")</f>
        <v>mining-and-quarrying</v>
      </c>
      <c r="C48" s="9" t="str">
        <f>IFERROR(__xludf.DUMMYFUNCTION("""COMPUTED_VALUE"""),"unfccc_annex_1")</f>
        <v>unfccc_annex_1</v>
      </c>
      <c r="D48" s="9" t="str">
        <f>IFERROR(__xludf.DUMMYFUNCTION("""COMPUTED_VALUE"""),"1.A.2.c  Chemicals")</f>
        <v>1.A.2.c  Chemicals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 t="str">
        <f>IFERROR(__xludf.DUMMYFUNCTION("""COMPUTED_VALUE"""),"unfccc_annex_1")</f>
        <v>unfccc_annex_1</v>
      </c>
      <c r="D49" s="9" t="str">
        <f>IFERROR(__xludf.DUMMYFUNCTION("""COMPUTED_VALUE"""),"1.A.2.b  Non-Ferrous Metals")</f>
        <v>1.A.2.b  Non-Ferrous Metals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IFERROR(__xludf.DUMMYFUNCTION("""COMPUTED_VALUE"""),"mining-and-quarrying")</f>
        <v>mining-and-quarrying</v>
      </c>
      <c r="C50" s="9" t="str">
        <f>IFERROR(__xludf.DUMMYFUNCTION("""COMPUTED_VALUE"""),"unfccc_annex_1")</f>
        <v>unfccc_annex_1</v>
      </c>
      <c r="D50" s="9" t="str">
        <f>IFERROR(__xludf.DUMMYFUNCTION("""COMPUTED_VALUE"""),"1.A.2.g.ii  Manufacturing of Transport Equipment")</f>
        <v>1.A.2.g.ii  Manufacturing of Transport Equipment</v>
      </c>
      <c r="E50" s="9">
        <f>IFERROR(__xludf.DUMMYFUNCTION("""COMPUTED_VALUE"""),-1.0)</f>
        <v>-1</v>
      </c>
    </row>
    <row r="51">
      <c r="A51" s="9" t="b">
        <f>IFERROR(__xludf.DUMMYFUNCTION("""COMPUTED_VALUE"""),TRUE)</f>
        <v>1</v>
      </c>
      <c r="B51" s="9" t="str">
        <f>IFERROR(__xludf.DUMMYFUNCTION("""COMPUTED_VALUE"""),"mining-and-quarrying")</f>
        <v>mining-and-quarrying</v>
      </c>
      <c r="C51" s="9" t="str">
        <f>IFERROR(__xludf.DUMMYFUNCTION("""COMPUTED_VALUE"""),"unfccc_annex_1")</f>
        <v>unfccc_annex_1</v>
      </c>
      <c r="D51" s="9" t="str">
        <f>IFERROR(__xludf.DUMMYFUNCTION("""COMPUTED_VALUE"""),"1.A.2.g.i  Manufacturing of Machinery")</f>
        <v>1.A.2.g.i  Manufacturing of Machinery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IFERROR(__xludf.DUMMYFUNCTION("""COMPUTED_VALUE"""),"mining-and-quarrying")</f>
        <v>mining-and-quarrying</v>
      </c>
      <c r="C52" s="9" t="str">
        <f>IFERROR(__xludf.DUMMYFUNCTION("""COMPUTED_VALUE"""),"unfccc_annex_1")</f>
        <v>unfccc_annex_1</v>
      </c>
      <c r="D52" s="9" t="str">
        <f>IFERROR(__xludf.DUMMYFUNCTION("""COMPUTED_VALUE"""),"1.A.2.e  Food Processing, Beverages and Tobacco")</f>
        <v>1.A.2.e  Food Processing, Beverages and Tobacco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IFERROR(__xludf.DUMMYFUNCTION("""COMPUTED_VALUE"""),"mining-and-quarrying")</f>
        <v>mining-and-quarrying</v>
      </c>
      <c r="C53" s="9" t="str">
        <f>IFERROR(__xludf.DUMMYFUNCTION("""COMPUTED_VALUE"""),"unfccc_annex_1")</f>
        <v>unfccc_annex_1</v>
      </c>
      <c r="D53" s="9" t="str">
        <f>IFERROR(__xludf.DUMMYFUNCTION("""COMPUTED_VALUE"""),"1.A.2.d  Pulp, Paper and Print")</f>
        <v>1.A.2.d  Pulp, Paper and Print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IFERROR(__xludf.DUMMYFUNCTION("""COMPUTED_VALUE"""),"mining-and-quarrying")</f>
        <v>mining-and-quarrying</v>
      </c>
      <c r="C54" s="9" t="str">
        <f>IFERROR(__xludf.DUMMYFUNCTION("""COMPUTED_VALUE"""),"unfccc_annex_1")</f>
        <v>unfccc_annex_1</v>
      </c>
      <c r="D54" s="9" t="str">
        <f>IFERROR(__xludf.DUMMYFUNCTION("""COMPUTED_VALUE"""),"1.A.2.g.iv  Wood and Wood Products")</f>
        <v>1.A.2.g.iv  Wood and Wood Products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IFERROR(__xludf.DUMMYFUNCTION("""COMPUTED_VALUE"""),"mining-and-quarrying")</f>
        <v>mining-and-quarrying</v>
      </c>
      <c r="C55" s="9" t="str">
        <f>IFERROR(__xludf.DUMMYFUNCTION("""COMPUTED_VALUE"""),"unfccc_annex_1")</f>
        <v>unfccc_annex_1</v>
      </c>
      <c r="D55" s="9" t="str">
        <f>IFERROR(__xludf.DUMMYFUNCTION("""COMPUTED_VALUE"""),"1.A.2.g.v  Construction")</f>
        <v>1.A.2.g.v  Construction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IFERROR(__xludf.DUMMYFUNCTION("""COMPUTED_VALUE"""),"mining-and-quarrying")</f>
        <v>mining-and-quarrying</v>
      </c>
      <c r="C56" s="9" t="str">
        <f>IFERROR(__xludf.DUMMYFUNCTION("""COMPUTED_VALUE"""),"unfccc_annex_1")</f>
        <v>unfccc_annex_1</v>
      </c>
      <c r="D56" s="9" t="str">
        <f>IFERROR(__xludf.DUMMYFUNCTION("""COMPUTED_VALUE"""),"1.A.2.g.vi  Textile and Leather")</f>
        <v>1.A.2.g.vi  Textile and Leather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 t="str">
        <f>IFERROR(__xludf.DUMMYFUNCTION("""COMPUTED_VALUE"""),"unfccc_annex_1")</f>
        <v>unfccc_annex_1</v>
      </c>
      <c r="D57" s="9" t="str">
        <f>IFERROR(__xludf.DUMMYFUNCTION("""COMPUTED_VALUE"""),"1.A.2.g.viii  Other")</f>
        <v>1.A.2.g.viii  Other</v>
      </c>
      <c r="E57" s="9">
        <f>IFERROR(__xludf.DUMMYFUNCTION("""COMPUTED_VALUE"""),-1.0)</f>
        <v>-1</v>
      </c>
    </row>
    <row r="58">
      <c r="A58" s="9" t="b">
        <f>IFERROR(__xludf.DUMMYFUNCTION("""COMPUTED_VALUE"""),TRUE)</f>
        <v>1</v>
      </c>
      <c r="B58" s="9" t="str">
        <f>IFERROR(__xludf.DUMMYFUNCTION("""COMPUTED_VALUE"""),"mining-and-quarrying")</f>
        <v>mining-and-quarrying</v>
      </c>
      <c r="C58" s="9" t="str">
        <f>IFERROR(__xludf.DUMMYFUNCTION("""COMPUTED_VALUE"""),"unfccc_annex_1")</f>
        <v>unfccc_annex_1</v>
      </c>
      <c r="D58" s="9" t="str">
        <f>IFERROR(__xludf.DUMMYFUNCTION("""COMPUTED_VALUE"""),"1.A.2.a  Iron and Steel")</f>
        <v>1.A.2.a  Iron and Steel</v>
      </c>
      <c r="E58" s="9">
        <f>IFERROR(__xludf.DUMMYFUNCTION("""COMPUTED_VALUE"""),-1.0)</f>
        <v>-1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IFERROR(__xludf.DUMMYFUNCTION("""COMPUTED_VALUE"""),"enteric-fermentation")</f>
        <v>enteric-fermentation</v>
      </c>
      <c r="C59" s="9" t="str">
        <f>IFERROR(__xludf.DUMMYFUNCTION("""COMPUTED_VALUE"""),"cait")</f>
        <v>cait</v>
      </c>
      <c r="D59" s="9" t="str">
        <f>IFERROR(__xludf.DUMMYFUNCTION("""COMPUTED_VALUE"""),"Agriculture")</f>
        <v>Agriculture</v>
      </c>
      <c r="E59" s="9">
        <f>IFERROR(__xludf.DUMMYFUNCTION("""COMPUTED_VALUE"""),1.0)</f>
        <v>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IFERROR(__xludf.DUMMYFUNCTION("""COMPUTED_VALUE"""),"enteric-fermentation")</f>
        <v>enteric-fermentation</v>
      </c>
      <c r="C60" s="9" t="str">
        <f>IFERROR(__xludf.DUMMYFUNCTION("""COMPUTED_VALUE"""),"unfccc_annex_1")</f>
        <v>unfccc_annex_1</v>
      </c>
      <c r="D60" s="9" t="str">
        <f>IFERROR(__xludf.DUMMYFUNCTION("""COMPUTED_VALUE"""),"3.B  Manure Management")</f>
        <v>3.B  Manure Management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IFERROR(__xludf.DUMMYFUNCTION("""COMPUTED_VALUE"""),"enteric-fermentation")</f>
        <v>enteric-fermentation</v>
      </c>
      <c r="C61" s="9" t="str">
        <f>IFERROR(__xludf.DUMMYFUNCTION("""COMPUTED_VALUE"""),"unfccc_annex_1")</f>
        <v>unfccc_annex_1</v>
      </c>
      <c r="D61" s="9" t="str">
        <f>IFERROR(__xludf.DUMMYFUNCTION("""COMPUTED_VALUE"""),"3.C  Rice Cultivation")</f>
        <v>3.C  Rice Cultivation</v>
      </c>
      <c r="E61" s="9">
        <f>IFERROR(__xludf.DUMMYFUNCTION("""COMPUTED_VALUE"""),-1.0)</f>
        <v>-1</v>
      </c>
    </row>
    <row r="62">
      <c r="A62" s="9" t="b">
        <f>IFERROR(__xludf.DUMMYFUNCTION("""COMPUTED_VALUE"""),TRUE)</f>
        <v>1</v>
      </c>
      <c r="B62" s="9" t="str">
        <f>IFERROR(__xludf.DUMMYFUNCTION("""COMPUTED_VALUE"""),"manure-management")</f>
        <v>manure-management</v>
      </c>
      <c r="C62" s="9" t="str">
        <f>IFERROR(__xludf.DUMMYFUNCTION("""COMPUTED_VALUE"""),"cait")</f>
        <v>cait</v>
      </c>
      <c r="D62" s="9" t="str">
        <f>IFERROR(__xludf.DUMMYFUNCTION("""COMPUTED_VALUE"""),"Agriculture")</f>
        <v>Agriculture</v>
      </c>
      <c r="E62" s="9">
        <f>IFERROR(__xludf.DUMMYFUNCTION("""COMPUTED_VALUE"""),1.0)</f>
        <v>1</v>
      </c>
    </row>
    <row r="63">
      <c r="A63" s="9" t="b">
        <f>IFERROR(__xludf.DUMMYFUNCTION("""COMPUTED_VALUE"""),TRUE)</f>
        <v>1</v>
      </c>
      <c r="B63" s="9" t="str">
        <f>IFERROR(__xludf.DUMMYFUNCTION("""COMPUTED_VALUE"""),"manure-management")</f>
        <v>manure-management</v>
      </c>
      <c r="C63" s="9" t="str">
        <f>IFERROR(__xludf.DUMMYFUNCTION("""COMPUTED_VALUE"""),"unfccc_annex_1")</f>
        <v>unfccc_annex_1</v>
      </c>
      <c r="D63" s="9" t="str">
        <f>IFERROR(__xludf.DUMMYFUNCTION("""COMPUTED_VALUE"""),"3.A  Enteric Fermentation")</f>
        <v>3.A  Enteric Fermentation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IFERROR(__xludf.DUMMYFUNCTION("""COMPUTED_VALUE"""),"manure-management")</f>
        <v>manure-management</v>
      </c>
      <c r="C64" s="9" t="str">
        <f>IFERROR(__xludf.DUMMYFUNCTION("""COMPUTED_VALUE"""),"unfccc_annex_1")</f>
        <v>unfccc_annex_1</v>
      </c>
      <c r="D64" s="9" t="str">
        <f>IFERROR(__xludf.DUMMYFUNCTION("""COMPUTED_VALUE"""),"3.C  Rice Cultivation")</f>
        <v>3.C  Rice Cultivation</v>
      </c>
      <c r="E64" s="9">
        <f>IFERROR(__xludf.DUMMYFUNCTION("""COMPUTED_VALUE"""),-1.0)</f>
        <v>-1</v>
      </c>
    </row>
    <row r="65">
      <c r="A65" s="9" t="b">
        <f>IFERROR(__xludf.DUMMYFUNCTION("""COMPUTED_VALUE"""),TRUE)</f>
        <v>1</v>
      </c>
      <c r="B65" s="9" t="str">
        <f>IFERROR(__xludf.DUMMYFUNCTION("""COMPUTED_VALUE"""),"rice-cultivation")</f>
        <v>rice-cultivation</v>
      </c>
      <c r="C65" s="9" t="str">
        <f>IFERROR(__xludf.DUMMYFUNCTION("""COMPUTED_VALUE"""),"cait")</f>
        <v>cait</v>
      </c>
      <c r="D65" s="9" t="str">
        <f>IFERROR(__xludf.DUMMYFUNCTION("""COMPUTED_VALUE"""),"Agriculture")</f>
        <v>Agriculture</v>
      </c>
      <c r="E65" s="9">
        <f>IFERROR(__xludf.DUMMYFUNCTION("""COMPUTED_VALUE"""),1.0)</f>
        <v>1</v>
      </c>
    </row>
    <row r="66">
      <c r="A66" s="9" t="b">
        <f>IFERROR(__xludf.DUMMYFUNCTION("""COMPUTED_VALUE"""),TRUE)</f>
        <v>1</v>
      </c>
      <c r="B66" s="9" t="str">
        <f>IFERROR(__xludf.DUMMYFUNCTION("""COMPUTED_VALUE"""),"rice-cultivation")</f>
        <v>rice-cultivation</v>
      </c>
      <c r="C66" s="9" t="str">
        <f>IFERROR(__xludf.DUMMYFUNCTION("""COMPUTED_VALUE"""),"unfccc_annex_1")</f>
        <v>unfccc_annex_1</v>
      </c>
      <c r="D66" s="9" t="str">
        <f>IFERROR(__xludf.DUMMYFUNCTION("""COMPUTED_VALUE"""),"3.A  Enteric Fermentation")</f>
        <v>3.A  Enteric Fermentation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IFERROR(__xludf.DUMMYFUNCTION("""COMPUTED_VALUE"""),"rice-cultivation")</f>
        <v>rice-cultivation</v>
      </c>
      <c r="C67" s="9" t="str">
        <f>IFERROR(__xludf.DUMMYFUNCTION("""COMPUTED_VALUE"""),"unfccc_annex_1")</f>
        <v>unfccc_annex_1</v>
      </c>
      <c r="D67" s="9" t="str">
        <f>IFERROR(__xludf.DUMMYFUNCTION("""COMPUTED_VALUE"""),"3.B  Manure Management")</f>
        <v>3.B  Manure Management</v>
      </c>
      <c r="E67" s="9">
        <f>IFERROR(__xludf.DUMMYFUNCTION("""COMPUTED_VALUE"""),-1.0)</f>
        <v>-1</v>
      </c>
    </row>
    <row r="68">
      <c r="A68" s="9" t="b">
        <f>IFERROR(__xludf.DUMMYFUNCTION("""COMPUTED_VALUE"""),TRUE)</f>
        <v>1</v>
      </c>
      <c r="B68" s="9" t="str">
        <f>IFERROR(__xludf.DUMMYFUNCTION("""COMPUTED_VALUE"""),"synthetic-fertilizer-application")</f>
        <v>synthetic-fertilizer-application</v>
      </c>
      <c r="C68" s="9" t="str">
        <f>IFERROR(__xludf.DUMMYFUNCTION("""COMPUTED_VALUE"""),"cait")</f>
        <v>cait</v>
      </c>
      <c r="D68" s="9" t="str">
        <f>IFERROR(__xludf.DUMMYFUNCTION("""COMPUTED_VALUE"""),"Agriculture")</f>
        <v>Agriculture</v>
      </c>
      <c r="E68" s="9">
        <f>IFERROR(__xludf.DUMMYFUNCTION("""COMPUTED_VALUE"""),1.0)</f>
        <v>1</v>
      </c>
    </row>
    <row r="69">
      <c r="A69" s="9" t="b">
        <f>IFERROR(__xludf.DUMMYFUNCTION("""COMPUTED_VALUE"""),TRUE)</f>
        <v>1</v>
      </c>
      <c r="B69" s="9" t="str">
        <f>IFERROR(__xludf.DUMMYFUNCTION("""COMPUTED_VALUE"""),"synthetic-fertilizer-application")</f>
        <v>synthetic-fertilizer-application</v>
      </c>
      <c r="C69" s="9" t="str">
        <f>IFERROR(__xludf.DUMMYFUNCTION("""COMPUTED_VALUE"""),"unfccc_annex_1")</f>
        <v>unfccc_annex_1</v>
      </c>
      <c r="D69" s="9" t="str">
        <f>IFERROR(__xludf.DUMMYFUNCTION("""COMPUTED_VALUE"""),"3.A  Enteric Fermentation")</f>
        <v>3.A  Enteric Fermentation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IFERROR(__xludf.DUMMYFUNCTION("""COMPUTED_VALUE"""),"synthetic-fertilizer-application")</f>
        <v>synthetic-fertilizer-application</v>
      </c>
      <c r="C70" s="9" t="str">
        <f>IFERROR(__xludf.DUMMYFUNCTION("""COMPUTED_VALUE"""),"unfccc_annex_1")</f>
        <v>unfccc_annex_1</v>
      </c>
      <c r="D70" s="9" t="str">
        <f>IFERROR(__xludf.DUMMYFUNCTION("""COMPUTED_VALUE"""),"3.B  Manure Management")</f>
        <v>3.B  Manure Management</v>
      </c>
      <c r="E70" s="9">
        <f>IFERROR(__xludf.DUMMYFUNCTION("""COMPUTED_VALUE"""),-1.0)</f>
        <v>-1</v>
      </c>
    </row>
    <row r="71">
      <c r="A71" s="9" t="b">
        <f>IFERROR(__xludf.DUMMYFUNCTION("""COMPUTED_VALUE"""),TRUE)</f>
        <v>1</v>
      </c>
      <c r="B71" s="9" t="str">
        <f>IFERROR(__xludf.DUMMYFUNCTION("""COMPUTED_VALUE"""),"synthetic-fertilizer-application")</f>
        <v>synthetic-fertilizer-application</v>
      </c>
      <c r="C71" s="9" t="str">
        <f>IFERROR(__xludf.DUMMYFUNCTION("""COMPUTED_VALUE"""),"unfccc_annex_1")</f>
        <v>unfccc_annex_1</v>
      </c>
      <c r="D71" s="9" t="str">
        <f>IFERROR(__xludf.DUMMYFUNCTION("""COMPUTED_VALUE"""),"3.D.2  Indirect N₂O Emissions From Managed Soils")</f>
        <v>3.D.2  Indirect N₂O Emissions From Managed Soils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IFERROR(__xludf.DUMMYFUNCTION("""COMPUTED_VALUE"""),"synthetic-fertilizer-application")</f>
        <v>synthetic-fertilizer-application</v>
      </c>
      <c r="C72" s="9" t="str">
        <f>IFERROR(__xludf.DUMMYFUNCTION("""COMPUTED_VALUE"""),"unfccc_annex_1")</f>
        <v>unfccc_annex_1</v>
      </c>
      <c r="D72" s="9" t="str">
        <f>IFERROR(__xludf.DUMMYFUNCTION("""COMPUTED_VALUE"""),"3.F  Field Burning of Agricultural Residues")</f>
        <v>3.F  Field Burning of Agricultural Residues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IFERROR(__xludf.DUMMYFUNCTION("""COMPUTED_VALUE"""),"synthetic-fertilizer-application")</f>
        <v>synthetic-fertilizer-application</v>
      </c>
      <c r="C73" s="9" t="str">
        <f>IFERROR(__xludf.DUMMYFUNCTION("""COMPUTED_VALUE"""),"unfccc_annex_1")</f>
        <v>unfccc_annex_1</v>
      </c>
      <c r="D73" s="9" t="str">
        <f>IFERROR(__xludf.DUMMYFUNCTION("""COMPUTED_VALUE"""),"3.G  Liming")</f>
        <v>3.G  Liming</v>
      </c>
      <c r="E73" s="9">
        <f>IFERROR(__xludf.DUMMYFUNCTION("""COMPUTED_VALUE"""),-1.0)</f>
        <v>-1</v>
      </c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IFERROR(__xludf.DUMMYFUNCTION("""COMPUTED_VALUE"""),"3.H  Urea Application")</f>
        <v>3.H  Urea Application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IFERROR(__xludf.DUMMYFUNCTION("""COMPUTED_VALUE"""),"synthetic-fertilizer-application")</f>
        <v>synthetic-fertilizer-application</v>
      </c>
      <c r="C75" s="9" t="str">
        <f>IFERROR(__xludf.DUMMYFUNCTION("""COMPUTED_VALUE"""),"unfccc_annex_1")</f>
        <v>unfccc_annex_1</v>
      </c>
      <c r="D75" s="9" t="str">
        <f>IFERROR(__xludf.DUMMYFUNCTION("""COMPUTED_VALUE"""),"3.I  Other Carbon-containing Fertilizers")</f>
        <v>3.I  Other Carbon-containing Fertilizers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IFERROR(__xludf.DUMMYFUNCTION("""COMPUTED_VALUE"""),"synthetic-fertilizer-application")</f>
        <v>synthetic-fertilizer-application</v>
      </c>
      <c r="C76" s="9" t="str">
        <f>IFERROR(__xludf.DUMMYFUNCTION("""COMPUTED_VALUE"""),"unfccc_annex_1")</f>
        <v>unfccc_annex_1</v>
      </c>
      <c r="D76" s="9" t="str">
        <f>IFERROR(__xludf.DUMMYFUNCTION("""COMPUTED_VALUE"""),"3.J  Other")</f>
        <v>3.J  Other</v>
      </c>
      <c r="E76" s="9">
        <f>IFERROR(__xludf.DUMMYFUNCTION("""COMPUTED_VALUE"""),-1.0)</f>
        <v>-1</v>
      </c>
    </row>
    <row r="77">
      <c r="A77" s="9" t="b">
        <f>IFERROR(__xludf.DUMMYFUNCTION("""COMPUTED_VALUE"""),TRUE)</f>
        <v>1</v>
      </c>
      <c r="B77" s="9" t="str">
        <f>IFERROR(__xludf.DUMMYFUNCTION("""COMPUTED_VALUE"""),"net-forestry-and-land-use-change")</f>
        <v>net-forestry-and-land-use-change</v>
      </c>
      <c r="C77" s="9" t="str">
        <f>IFERROR(__xludf.DUMMYFUNCTION("""COMPUTED_VALUE"""),"cait")</f>
        <v>cait</v>
      </c>
      <c r="D77" s="9" t="str">
        <f>IFERROR(__xludf.DUMMYFUNCTION("""COMPUTED_VALUE"""),"Land-Use Change and Forestry")</f>
        <v>Land-Use Change and Forestry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/>
      <c r="D88" s="9"/>
      <c r="E88" s="9"/>
    </row>
    <row r="89">
      <c r="A89" s="9" t="b">
        <f>IFERROR(__xludf.DUMMYFUNCTION("""COMPUTED_VALUE"""),FALSE)</f>
        <v>0</v>
      </c>
      <c r="B89" s="9" t="str">
        <f>IFERROR(__xludf.DUMMYFUNCTION("""COMPUTED_VALUE"""),"domestic-aviation")</f>
        <v>domestic-aviation</v>
      </c>
      <c r="C89" s="9"/>
      <c r="D89" s="9"/>
      <c r="E89" s="9"/>
    </row>
    <row r="90">
      <c r="A90" s="9" t="b">
        <f>IFERROR(__xludf.DUMMYFUNCTION("""COMPUTED_VALUE"""),FALSE)</f>
        <v>0</v>
      </c>
      <c r="B90" s="9" t="str">
        <f>IFERROR(__xludf.DUMMYFUNCTION("""COMPUTED_VALUE"""),"international-aviation")</f>
        <v>international-aviation</v>
      </c>
      <c r="C90" s="9"/>
      <c r="D90" s="9"/>
      <c r="E90" s="9"/>
    </row>
    <row r="91">
      <c r="A91" s="9" t="b">
        <f>IFERROR(__xludf.DUMMYFUNCTION("""COMPUTED_VALUE"""),FALSE)</f>
        <v>0</v>
      </c>
      <c r="B91" s="9" t="str">
        <f>IFERROR(__xludf.DUMMYFUNCTION("""COMPUTED_VALUE"""),"international-shipping")</f>
        <v>international-shipping</v>
      </c>
      <c r="C91" s="9"/>
      <c r="D91" s="9"/>
      <c r="E91" s="9"/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/>
      <c r="D92" s="9"/>
      <c r="E92" s="9"/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/>
      <c r="D93" s="9"/>
      <c r="E93" s="9"/>
    </row>
    <row r="94">
      <c r="A94" s="9" t="b">
        <f>IFERROR(__xludf.DUMMYFUNCTION("""COMPUTED_VALUE"""),FALSE)</f>
        <v>0</v>
      </c>
      <c r="B94" s="9" t="str">
        <f>IFERROR(__xludf.DUMMYFUNCTION("""COMPUTED_VALUE"""),"oil-and-gas-production-and-transport")</f>
        <v>oil-and-gas-production-and-transport</v>
      </c>
      <c r="C94" s="9" t="str">
        <f>IFERROR(__xludf.DUMMYFUNCTION("""COMPUTED_VALUE"""),"cait")</f>
        <v>cait</v>
      </c>
      <c r="D94" s="9" t="str">
        <f>IFERROR(__xludf.DUMMYFUNCTION("""COMPUTED_VALUE"""),"Fugitive Emissions")</f>
        <v>Fugitive Emissions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IFERROR(__xludf.DUMMYFUNCTION("""COMPUTED_VALUE"""),"oil-and-gas-production-and-transport")</f>
        <v>oil-and-gas-production-and-transport</v>
      </c>
      <c r="C95" s="9" t="str">
        <f>IFERROR(__xludf.DUMMYFUNCTION("""COMPUTED_VALUE"""),"unfccc_non_annex_1")</f>
        <v>unfccc_non_annex_1</v>
      </c>
      <c r="D95" s="9" t="str">
        <f>IFERROR(__xludf.DUMMYFUNCTION("""COMPUTED_VALUE"""),"1.B.1  Solid Fuels")</f>
        <v>1.B.1  Solid Fuels</v>
      </c>
      <c r="E95" s="9">
        <f>IFERROR(__xludf.DUMMYFUNCTION("""COMPUTED_VALUE"""),-1.0)</f>
        <v>-1</v>
      </c>
    </row>
    <row r="96">
      <c r="A96" s="9" t="b">
        <f>IFERROR(__xludf.DUMMYFUNCTION("""COMPUTED_VALUE"""),FALSE)</f>
        <v>0</v>
      </c>
      <c r="B96" s="9" t="str">
        <f>IFERROR(__xludf.DUMMYFUNCTION("""COMPUTED_VALUE"""),"oil-and-gas-refining")</f>
        <v>oil-and-gas-refining</v>
      </c>
      <c r="C96" s="9"/>
      <c r="D96" s="9"/>
      <c r="E96" s="9"/>
    </row>
    <row r="97">
      <c r="A97" s="9" t="b">
        <f>IFERROR(__xludf.DUMMYFUNCTION("""COMPUTED_VALUE"""),FALSE)</f>
        <v>0</v>
      </c>
      <c r="B97" s="9" t="str">
        <f>IFERROR(__xludf.DUMMYFUNCTION("""COMPUTED_VALUE"""),"petrochemicals")</f>
        <v>petrochemicals</v>
      </c>
      <c r="C97" s="9"/>
      <c r="D97" s="9"/>
      <c r="E97" s="9"/>
    </row>
    <row r="98">
      <c r="A98" s="9" t="b">
        <f>IFERROR(__xludf.DUMMYFUNCTION("""COMPUTED_VALUE"""),FALSE)</f>
        <v>0</v>
      </c>
      <c r="B98" s="9" t="str">
        <f>IFERROR(__xludf.DUMMYFUNCTION("""COMPUTED_VALUE"""),"cement")</f>
        <v>cement</v>
      </c>
      <c r="C98" s="9"/>
      <c r="D98" s="9"/>
      <c r="E98" s="9"/>
    </row>
    <row r="99">
      <c r="A99" s="9" t="b">
        <f>IFERROR(__xludf.DUMMYFUNCTION("""COMPUTED_VALUE"""),FALSE)</f>
        <v>0</v>
      </c>
      <c r="B99" s="9" t="str">
        <f>IFERROR(__xludf.DUMMYFUNCTION("""COMPUTED_VALUE"""),"chemicals")</f>
        <v>chemicals</v>
      </c>
      <c r="C99" s="9"/>
      <c r="D99" s="9"/>
      <c r="E99" s="9"/>
    </row>
    <row r="100">
      <c r="A100" s="9" t="b">
        <f>IFERROR(__xludf.DUMMYFUNCTION("""COMPUTED_VALUE"""),FALSE)</f>
        <v>0</v>
      </c>
      <c r="B100" s="9" t="str">
        <f>IFERROR(__xludf.DUMMYFUNCTION("""COMPUTED_VALUE"""),"steel")</f>
        <v>steel</v>
      </c>
      <c r="C100" s="9"/>
      <c r="D100" s="9"/>
      <c r="E100" s="9"/>
    </row>
    <row r="101">
      <c r="A101" s="9" t="b">
        <f>IFERROR(__xludf.DUMMYFUNCTION("""COMPUTED_VALUE"""),FALSE)</f>
        <v>0</v>
      </c>
      <c r="B101" s="9" t="str">
        <f>IFERROR(__xludf.DUMMYFUNCTION("""COMPUTED_VALUE"""),"aluminum")</f>
        <v>aluminum</v>
      </c>
      <c r="C101" s="9"/>
      <c r="D101" s="9"/>
      <c r="E101" s="9"/>
    </row>
    <row r="102">
      <c r="A102" s="9" t="b">
        <f>IFERROR(__xludf.DUMMYFUNCTION("""COMPUTED_VALUE"""),FALSE)</f>
        <v>0</v>
      </c>
      <c r="B102" s="9" t="str">
        <f>IFERROR(__xludf.DUMMYFUNCTION("""COMPUTED_VALUE"""),"pulp-and-paper")</f>
        <v>pulp-and-paper</v>
      </c>
      <c r="C102" s="9"/>
      <c r="D102" s="9"/>
      <c r="E102" s="9"/>
    </row>
    <row r="103">
      <c r="A103" s="9" t="b">
        <f>IFERROR(__xludf.DUMMYFUNCTION("""COMPUTED_VALUE"""),FALSE)</f>
        <v>0</v>
      </c>
      <c r="B103" s="9" t="str">
        <f>IFERROR(__xludf.DUMMYFUNCTION("""COMPUTED_VALUE"""),"mining-and-quarrying")</f>
        <v>mining-and-quarrying</v>
      </c>
      <c r="C103" s="9"/>
      <c r="D103" s="9"/>
      <c r="E103" s="9"/>
    </row>
    <row r="104">
      <c r="A104" s="9" t="b">
        <f>IFERROR(__xludf.DUMMYFUNCTION("""COMPUTED_VALUE"""),FALSE)</f>
        <v>0</v>
      </c>
      <c r="B104" s="9" t="str">
        <f>IFERROR(__xludf.DUMMYFUNCTION("""COMPUTED_VALUE"""),"enteric-fermentation")</f>
        <v>enteric-fermentation</v>
      </c>
      <c r="C104" s="9"/>
      <c r="D104" s="9"/>
      <c r="E104" s="9"/>
    </row>
    <row r="105">
      <c r="A105" s="9" t="b">
        <f>IFERROR(__xludf.DUMMYFUNCTION("""COMPUTED_VALUE"""),FALSE)</f>
        <v>0</v>
      </c>
      <c r="B105" s="9" t="str">
        <f>IFERROR(__xludf.DUMMYFUNCTION("""COMPUTED_VALUE"""),"manure-management")</f>
        <v>manure-management</v>
      </c>
      <c r="C105" s="9"/>
      <c r="D105" s="9"/>
      <c r="E105" s="9"/>
    </row>
    <row r="106">
      <c r="A106" s="9" t="b">
        <f>IFERROR(__xludf.DUMMYFUNCTION("""COMPUTED_VALUE"""),FALSE)</f>
        <v>0</v>
      </c>
      <c r="B106" s="9" t="str">
        <f>IFERROR(__xludf.DUMMYFUNCTION("""COMPUTED_VALUE"""),"rice-cultivation")</f>
        <v>rice-cultivation</v>
      </c>
      <c r="C106" s="9"/>
      <c r="D106" s="9"/>
      <c r="E106" s="9"/>
    </row>
    <row r="107">
      <c r="A107" s="9" t="b">
        <f>IFERROR(__xludf.DUMMYFUNCTION("""COMPUTED_VALUE"""),FALSE)</f>
        <v>0</v>
      </c>
      <c r="B107" s="9" t="str">
        <f>IFERROR(__xludf.DUMMYFUNCTION("""COMPUTED_VALUE"""),"synthetic-fertilizer-application")</f>
        <v>synthetic-fertilizer-application</v>
      </c>
      <c r="C107" s="9"/>
      <c r="D107" s="9"/>
      <c r="E107" s="9"/>
    </row>
    <row r="108">
      <c r="A108" s="9" t="b">
        <f>IFERROR(__xludf.DUMMYFUNCTION("""COMPUTED_VALUE"""),FALSE)</f>
        <v>0</v>
      </c>
      <c r="B108" s="9" t="str">
        <f>IFERROR(__xludf.DUMMYFUNCTION("""COMPUTED_VALUE"""),"forest-land-fires")</f>
        <v>forest-land-fires</v>
      </c>
      <c r="C108" s="9"/>
      <c r="D108" s="9"/>
      <c r="E108" s="9"/>
    </row>
    <row r="109">
      <c r="A109" s="9" t="b">
        <f>IFERROR(__xludf.DUMMYFUNCTION("""COMPUTED_VALUE"""),FALSE)</f>
        <v>0</v>
      </c>
      <c r="B109" s="9" t="str">
        <f>IFERROR(__xludf.DUMMYFUNCTION("""COMPUTED_VALUE"""),"forest-land-clearing")</f>
        <v>forest-land-clearing</v>
      </c>
      <c r="C109" s="9"/>
      <c r="D109" s="9"/>
      <c r="E109" s="9"/>
    </row>
    <row r="110">
      <c r="A110" s="9" t="b">
        <f>IFERROR(__xludf.DUMMYFUNCTION("""COMPUTED_VALUE"""),FALSE)</f>
        <v>0</v>
      </c>
      <c r="B110" s="9" t="str">
        <f>IFERROR(__xludf.DUMMYFUNCTION("""COMPUTED_VALUE"""),"forest-land-degradation")</f>
        <v>forest-land-degradation</v>
      </c>
      <c r="C110" s="9"/>
      <c r="D110" s="9"/>
      <c r="E110" s="9"/>
    </row>
    <row r="111">
      <c r="A111" s="9" t="b">
        <f>IFERROR(__xludf.DUMMYFUNCTION("""COMPUTED_VALUE"""),FALSE)</f>
        <v>0</v>
      </c>
      <c r="B111" s="9" t="str">
        <f>IFERROR(__xludf.DUMMYFUNCTION("""COMPUTED_VALUE"""),"net-forest-land")</f>
        <v>net-forest-land</v>
      </c>
      <c r="C111" s="9"/>
      <c r="D111" s="9"/>
      <c r="E111" s="9"/>
    </row>
    <row r="112">
      <c r="A112" s="9" t="b">
        <f>IFERROR(__xludf.DUMMYFUNCTION("""COMPUTED_VALUE"""),FALSE)</f>
        <v>0</v>
      </c>
      <c r="B112" s="9" t="str">
        <f>IFERROR(__xludf.DUMMYFUNCTION("""COMPUTED_VALUE"""),"net-shrubgrass")</f>
        <v>net-shrubgrass</v>
      </c>
      <c r="C112" s="9"/>
      <c r="D112" s="9"/>
      <c r="E112" s="9"/>
    </row>
    <row r="113">
      <c r="A113" s="9" t="b">
        <f>IFERROR(__xludf.DUMMYFUNCTION("""COMPUTED_VALUE"""),FALSE)</f>
        <v>0</v>
      </c>
      <c r="B113" s="9" t="str">
        <f>IFERROR(__xludf.DUMMYFUNCTION("""COMPUTED_VALUE"""),"net-wetland")</f>
        <v>net-wetland</v>
      </c>
      <c r="C113" s="9"/>
      <c r="D113" s="9"/>
      <c r="E113" s="9"/>
    </row>
    <row r="114">
      <c r="A114" s="9" t="b">
        <f>IFERROR(__xludf.DUMMYFUNCTION("""COMPUTED_VALUE"""),FALSE)</f>
        <v>0</v>
      </c>
      <c r="B114" s="9" t="str">
        <f>IFERROR(__xludf.DUMMYFUNCTION("""COMPUTED_VALUE"""),"shrubgrass-fires")</f>
        <v>shrubgrass-fires</v>
      </c>
      <c r="C114" s="9"/>
      <c r="D114" s="9"/>
      <c r="E114" s="9"/>
    </row>
    <row r="115">
      <c r="A115" s="9" t="b">
        <f>IFERROR(__xludf.DUMMYFUNCTION("""COMPUTED_VALUE"""),FALSE)</f>
        <v>0</v>
      </c>
      <c r="B115" s="9" t="str">
        <f>IFERROR(__xludf.DUMMYFUNCTION("""COMPUTED_VALUE"""),"wetland-fires")</f>
        <v>wetland-fires</v>
      </c>
      <c r="C115" s="9"/>
      <c r="D115" s="9"/>
      <c r="E115" s="9"/>
    </row>
    <row r="116">
      <c r="A116" s="9" t="b">
        <f>IFERROR(__xludf.DUMMYFUNCTION("""COMPUTED_VALUE"""),FALSE)</f>
        <v>0</v>
      </c>
      <c r="B116" s="9" t="str">
        <f>IFERROR(__xludf.DUMMYFUNCTION("""COMPUTED_VALUE"""),"removals")</f>
        <v>removals</v>
      </c>
      <c r="C116" s="9"/>
      <c r="D116" s="9"/>
      <c r="E116" s="9"/>
    </row>
    <row r="117">
      <c r="A117" s="9" t="b">
        <f>IFERROR(__xludf.DUMMYFUNCTION("""COMPUTED_VALUE"""),FALSE)</f>
        <v>0</v>
      </c>
      <c r="B117" s="9" t="str">
        <f>IFERROR(__xludf.DUMMYFUNCTION("""COMPUTED_VALUE"""),"water-reservoirs")</f>
        <v>water-reservoirs</v>
      </c>
      <c r="C117" s="9"/>
      <c r="D117" s="9"/>
      <c r="E117" s="9"/>
    </row>
    <row r="118">
      <c r="A118" s="9"/>
      <c r="B118" s="9"/>
      <c r="C118" s="9"/>
      <c r="D118" s="9"/>
      <c r="E118" s="9"/>
    </row>
    <row r="119">
      <c r="A119" s="9"/>
      <c r="B119" s="9"/>
      <c r="C119" s="9"/>
      <c r="D119" s="9"/>
      <c r="E119" s="9"/>
    </row>
    <row r="120">
      <c r="A120" s="9"/>
      <c r="B120" s="9"/>
      <c r="C120" s="9"/>
      <c r="D120" s="9"/>
      <c r="E120" s="9"/>
    </row>
    <row r="121">
      <c r="A121" s="9"/>
      <c r="B121" s="9"/>
      <c r="C121" s="9"/>
      <c r="D121" s="9"/>
      <c r="E121" s="9"/>
    </row>
    <row r="122">
      <c r="A122" s="9"/>
      <c r="B122" s="9"/>
      <c r="C122" s="9"/>
      <c r="D122" s="9"/>
      <c r="E122" s="9"/>
    </row>
    <row r="123">
      <c r="A123" s="9"/>
      <c r="B123" s="9"/>
      <c r="C123" s="9"/>
      <c r="D123" s="9"/>
      <c r="E123" s="9"/>
    </row>
    <row r="124">
      <c r="A124" s="9"/>
      <c r="B124" s="9"/>
      <c r="C124" s="9"/>
      <c r="D124" s="9"/>
      <c r="E124" s="9"/>
    </row>
    <row r="125">
      <c r="A125" s="9"/>
      <c r="B125" s="9"/>
      <c r="C125" s="9"/>
      <c r="D125" s="9"/>
      <c r="E125" s="9"/>
    </row>
    <row r="126">
      <c r="A126" s="9"/>
      <c r="B126" s="9"/>
      <c r="C126" s="9"/>
      <c r="D126" s="9"/>
      <c r="E126" s="9"/>
    </row>
    <row r="127">
      <c r="A127" s="9"/>
      <c r="B127" s="9"/>
      <c r="C127" s="9"/>
      <c r="D127" s="9"/>
      <c r="E127" s="9"/>
    </row>
    <row r="128">
      <c r="A128" s="9"/>
      <c r="B128" s="9"/>
      <c r="C128" s="9"/>
      <c r="D128" s="9"/>
      <c r="E128" s="9"/>
    </row>
    <row r="129">
      <c r="A129" s="9"/>
      <c r="B129" s="9"/>
      <c r="C129" s="9"/>
      <c r="D129" s="9"/>
      <c r="E129" s="9"/>
    </row>
    <row r="130">
      <c r="A130" s="9"/>
      <c r="B130" s="9"/>
      <c r="C130" s="9"/>
      <c r="D130" s="9"/>
      <c r="E130" s="9"/>
    </row>
    <row r="131">
      <c r="A131" s="9"/>
      <c r="B131" s="9"/>
      <c r="C131" s="9"/>
      <c r="D131" s="9"/>
      <c r="E131" s="9"/>
    </row>
    <row r="132">
      <c r="A132" s="9"/>
      <c r="B132" s="9"/>
      <c r="C132" s="9"/>
      <c r="D132" s="9"/>
      <c r="E132" s="9"/>
    </row>
    <row r="133">
      <c r="A133" s="9"/>
      <c r="B133" s="9"/>
      <c r="C133" s="9"/>
      <c r="D133" s="9"/>
      <c r="E133" s="9"/>
    </row>
    <row r="134">
      <c r="A134" s="9"/>
      <c r="B134" s="9"/>
      <c r="C134" s="9"/>
      <c r="D134" s="9"/>
      <c r="E134" s="9"/>
    </row>
    <row r="135">
      <c r="A135" s="9"/>
      <c r="B135" s="9"/>
      <c r="C135" s="9"/>
      <c r="D135" s="9"/>
      <c r="E135" s="9"/>
    </row>
    <row r="136">
      <c r="A136" s="9"/>
      <c r="B136" s="9"/>
      <c r="C136" s="9"/>
      <c r="D136" s="9"/>
      <c r="E136" s="9"/>
    </row>
    <row r="137">
      <c r="A137" s="9"/>
      <c r="B137" s="9"/>
      <c r="C137" s="9"/>
      <c r="D137" s="9"/>
      <c r="E137" s="9"/>
    </row>
    <row r="138">
      <c r="A138" s="9"/>
      <c r="B138" s="9"/>
      <c r="C138" s="9"/>
      <c r="D138" s="9"/>
      <c r="E138" s="9"/>
    </row>
    <row r="139">
      <c r="A139" s="9"/>
      <c r="B139" s="9"/>
      <c r="C139" s="9"/>
      <c r="D139" s="9"/>
      <c r="E139" s="9"/>
    </row>
    <row r="140">
      <c r="A140" s="9"/>
      <c r="B140" s="9"/>
      <c r="C140" s="9"/>
      <c r="D140" s="9"/>
      <c r="E140" s="9"/>
    </row>
    <row r="141">
      <c r="A141" s="9"/>
      <c r="B141" s="9"/>
      <c r="C141" s="9"/>
      <c r="D141" s="9"/>
      <c r="E141" s="9"/>
    </row>
    <row r="142">
      <c r="A142" s="9"/>
      <c r="B142" s="9"/>
      <c r="C142" s="9"/>
      <c r="D142" s="9"/>
      <c r="E142" s="9"/>
    </row>
    <row r="143">
      <c r="A143" s="9"/>
      <c r="B143" s="9"/>
      <c r="C143" s="9"/>
      <c r="D143" s="9"/>
      <c r="E143" s="9"/>
    </row>
    <row r="144">
      <c r="A144" s="9"/>
      <c r="B144" s="9"/>
      <c r="C144" s="9"/>
      <c r="D144" s="9"/>
      <c r="E144" s="9"/>
    </row>
    <row r="145">
      <c r="A145" s="9"/>
      <c r="B145" s="9"/>
      <c r="C145" s="9"/>
      <c r="D145" s="9"/>
      <c r="E145" s="9"/>
    </row>
    <row r="146">
      <c r="A146" s="9"/>
      <c r="B146" s="9"/>
      <c r="C146" s="9"/>
      <c r="D146" s="9"/>
      <c r="E146" s="9"/>
    </row>
    <row r="147">
      <c r="A147" s="9"/>
      <c r="B147" s="9"/>
      <c r="C147" s="9"/>
      <c r="D147" s="9"/>
      <c r="E147" s="9"/>
    </row>
    <row r="148">
      <c r="A148" s="9"/>
      <c r="B148" s="9"/>
      <c r="C148" s="9"/>
      <c r="D148" s="9"/>
      <c r="E148" s="9"/>
    </row>
    <row r="149">
      <c r="A149" s="9"/>
      <c r="B149" s="9"/>
      <c r="C149" s="9"/>
      <c r="D149" s="9"/>
      <c r="E149" s="9"/>
    </row>
    <row r="150">
      <c r="A150" s="9"/>
      <c r="B150" s="9"/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""pik-tp-graph-utility!A1:J200"")"),"Annex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IFERROR(__xludf.DUMMYFUNCTION("""COMPUTED_VALUE"""),"pik-tp")</f>
        <v>pik-tp</v>
      </c>
      <c r="D2" s="9">
        <f>IFERROR(__xludf.DUMMYFUNCTION("""COMPUTED_VALUE"""),1.0)</f>
        <v>1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IFERROR(__xludf.DUMMYFUNCTION("""COMPUTED_VALUE"""),"1.B  Fugitive Emissions from Fuels")</f>
        <v>1.B  Fugitive Emissions from Fuels</v>
      </c>
      <c r="E3" s="9">
        <f>IFERROR(__xludf.DUMMYFUNCTION("""COMPUTED_VALUE"""),-1.0)</f>
        <v>-1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IFERROR(__xludf.DUMMYFUNCTION("""COMPUTED_VALUE"""),"1.C  CO₂ Transport and Storage")</f>
        <v>1.C  CO₂ Transport and Storage</v>
      </c>
      <c r="E4" s="9">
        <f>IFERROR(__xludf.DUMMYFUNCTION("""COMPUTED_VALUE"""),-1.0)</f>
        <v>-1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IFERROR(__xludf.DUMMYFUNCTION("""COMPUTED_VALUE"""),"electricity-generation")</f>
        <v>electricity-generation</v>
      </c>
      <c r="C5" s="9" t="str">
        <f>IFERROR(__xludf.DUMMYFUNCTION("""COMPUTED_VALUE"""),"unfccc_annex_1")</f>
        <v>unfccc_annex_1</v>
      </c>
      <c r="D5" s="9" t="str">
        <f>IFERROR(__xludf.DUMMYFUNCTION("""COMPUTED_VALUE"""),"1.A.1.a.iii  Heat Plants")</f>
        <v>1.A.1.a.iii  Heat Plants</v>
      </c>
      <c r="E5" s="9">
        <f>IFERROR(__xludf.DUMMYFUNCTION("""COMPUTED_VALUE"""),-1.0)</f>
        <v>-1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IFERROR(__xludf.DUMMYFUNCTION("""COMPUTED_VALUE"""),"electricity-generation")</f>
        <v>electricity-generation</v>
      </c>
      <c r="C6" s="9" t="str">
        <f>IFERROR(__xludf.DUMMYFUNCTION("""COMPUTED_VALUE"""),"unfccc_annex_1")</f>
        <v>unfccc_annex_1</v>
      </c>
      <c r="D6" s="9" t="str">
        <f>IFERROR(__xludf.DUMMYFUNCTION("""COMPUTED_VALUE"""),"1.A.1.b  Petroleum Refining")</f>
        <v>1.A.1.b  Petroleum Refining</v>
      </c>
      <c r="E6" s="9">
        <f>IFERROR(__xludf.DUMMYFUNCTION("""COMPUTED_VALUE"""),-1.0)</f>
        <v>-1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IFERROR(__xludf.DUMMYFUNCTION("""COMPUTED_VALUE"""),"electricity-generation")</f>
        <v>electricity-generation</v>
      </c>
      <c r="C7" s="9" t="str">
        <f>IFERROR(__xludf.DUMMYFUNCTION("""COMPUTED_VALUE"""),"unfccc_annex_1")</f>
        <v>unfccc_annex_1</v>
      </c>
      <c r="D7" s="9" t="str">
        <f>IFERROR(__xludf.DUMMYFUNCTION("""COMPUTED_VALUE"""),"1.A.1.c  Manufacture of Solid Fuels and Other Energy Industries")</f>
        <v>1.A.1.c  Manufacture of Solid Fuels and Other Energy Industries</v>
      </c>
      <c r="E7" s="9">
        <f>IFERROR(__xludf.DUMMYFUNCTION("""COMPUTED_VALUE"""),-1.0)</f>
        <v>-1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IFERROR(__xludf.DUMMYFUNCTION("""COMPUTED_VALUE"""),"electricity-generation")</f>
        <v>electricity-generation</v>
      </c>
      <c r="C8" s="9" t="str">
        <f>IFERROR(__xludf.DUMMYFUNCTION("""COMPUTED_VALUE"""),"unfccc_annex_1")</f>
        <v>unfccc_annex_1</v>
      </c>
      <c r="D8" s="9" t="str">
        <f>IFERROR(__xludf.DUMMYFUNCTION("""COMPUTED_VALUE"""),"1.A.2  Manufacturing Industries and Construction")</f>
        <v>1.A.2  Manufacturing Industries and Construction</v>
      </c>
      <c r="E8" s="9">
        <f>IFERROR(__xludf.DUMMYFUNCTION("""COMPUTED_VALUE"""),-1.0)</f>
        <v>-1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IFERROR(__xludf.DUMMYFUNCTION("""COMPUTED_VALUE"""),"electricity-generation")</f>
        <v>electricity-generation</v>
      </c>
      <c r="C9" s="9" t="str">
        <f>IFERROR(__xludf.DUMMYFUNCTION("""COMPUTED_VALUE"""),"unfccc_annex_1")</f>
        <v>unfccc_annex_1</v>
      </c>
      <c r="D9" s="9" t="str">
        <f>IFERROR(__xludf.DUMMYFUNCTION("""COMPUTED_VALUE"""),"1.A.3  Transport")</f>
        <v>1.A.3  Transport</v>
      </c>
      <c r="E9" s="9">
        <f>IFERROR(__xludf.DUMMYFUNCTION("""COMPUTED_VALUE"""),-1.0)</f>
        <v>-1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IFERROR(__xludf.DUMMYFUNCTION("""COMPUTED_VALUE"""),"electricity-generation")</f>
        <v>electricity-generation</v>
      </c>
      <c r="C10" s="9" t="str">
        <f>IFERROR(__xludf.DUMMYFUNCTION("""COMPUTED_VALUE"""),"unfccc_annex_1")</f>
        <v>unfccc_annex_1</v>
      </c>
      <c r="D10" s="9" t="str">
        <f>IFERROR(__xludf.DUMMYFUNCTION("""COMPUTED_VALUE"""),"1.A.4  Other Sectors")</f>
        <v>1.A.4  Other Sectors</v>
      </c>
      <c r="E10" s="9">
        <f>IFERROR(__xludf.DUMMYFUNCTION("""COMPUTED_VALUE"""),-1.0)</f>
        <v>-1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IFERROR(__xludf.DUMMYFUNCTION("""COMPUTED_VALUE"""),"electricity-generation")</f>
        <v>electricity-generation</v>
      </c>
      <c r="C11" s="9" t="str">
        <f>IFERROR(__xludf.DUMMYFUNCTION("""COMPUTED_VALUE"""),"unfccc_annex_1")</f>
        <v>unfccc_annex_1</v>
      </c>
      <c r="D11" s="9" t="str">
        <f>IFERROR(__xludf.DUMMYFUNCTION("""COMPUTED_VALUE"""),"1.A.5  Other (Not specified elsewhere)")</f>
        <v>1.A.5  Other (Not specified elsewhere)</v>
      </c>
      <c r="E11" s="9">
        <f>IFERROR(__xludf.DUMMYFUNCTION("""COMPUTED_VALUE"""),-1.0)</f>
        <v>-1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IFERROR(__xludf.DUMMYFUNCTION("""COMPUTED_VALUE"""),"domestic-aviation")</f>
        <v>domestic-aviation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IFERROR(__xludf.DUMMYFUNCTION("""COMPUTED_VALUE"""),"international-aviation")</f>
        <v>international-aviation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IFERROR(__xludf.DUMMYFUNCTION("""COMPUTED_VALUE"""),"international-shipping")</f>
        <v>international-shipping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IFERROR(__xludf.DUMMYFUNCTION("""COMPUTED_VALUE"""),"coal-mining")</f>
        <v>coal-mining</v>
      </c>
      <c r="C16" s="9" t="str">
        <f>IFERROR(__xludf.DUMMYFUNCTION("""COMPUTED_VALUE"""),"pik-tp")</f>
        <v>pik-tp</v>
      </c>
      <c r="D16" s="9" t="str">
        <f>IFERROR(__xludf.DUMMYFUNCTION("""COMPUTED_VALUE"""),"1.B.1")</f>
        <v>1.B.1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IFERROR(__xludf.DUMMYFUNCTION("""COMPUTED_VALUE"""),"unfccc_annex_1")</f>
        <v>unfccc_annex_1</v>
      </c>
      <c r="D17" s="9" t="str">
        <f>IFERROR(__xludf.DUMMYFUNCTION("""COMPUTED_VALUE"""),"1.B.1.b  Solid Fuel Transformation")</f>
        <v>1.B.1.b  Solid Fuel Transformation</v>
      </c>
      <c r="E17" s="9">
        <f>IFERROR(__xludf.DUMMYFUNCTION("""COMPUTED_VALUE"""),-1.0)</f>
        <v>-1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IFERROR(__xludf.DUMMYFUNCTION("""COMPUTED_VALUE"""),"1.B.1.c  Other")</f>
        <v>1.B.1.c  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IFERROR(__xludf.DUMMYFUNCTION("""COMPUTED_VALUE"""),"pik-tp")</f>
        <v>pik-tp</v>
      </c>
      <c r="D19" s="9" t="str">
        <f>IFERROR(__xludf.DUMMYFUNCTION("""COMPUTED_VALUE"""),"1.B")</f>
        <v>1.B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IFERROR(__xludf.DUMMYFUNCTION("""COMPUTED_VALUE"""),"1.B.1  Solid Fuels")</f>
        <v>1.B.1  Solid Fuels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IFERROR(__xludf.DUMMYFUNCTION("""COMPUTED_VALUE"""),"oil-and-gas-refining")</f>
        <v>oil-and-gas-refining</v>
      </c>
      <c r="C21" s="9" t="str">
        <f>IFERROR(__xludf.DUMMYFUNCTION("""COMPUTED_VALUE"""),"pik-tp")</f>
        <v>pik-tp</v>
      </c>
      <c r="D21" s="9" t="str">
        <f>IFERROR(__xludf.DUMMYFUNCTION("""COMPUTED_VALUE"""),"1.A")</f>
        <v>1.A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IFERROR(__xludf.DUMMYFUNCTION("""COMPUTED_VALUE"""),"oil-and-gas-refining")</f>
        <v>oil-and-gas-refining</v>
      </c>
      <c r="C22" s="9" t="str">
        <f>IFERROR(__xludf.DUMMYFUNCTION("""COMPUTED_VALUE"""),"unfccc_annex_1")</f>
        <v>unfccc_annex_1</v>
      </c>
      <c r="D22" s="9" t="str">
        <f>IFERROR(__xludf.DUMMYFUNCTION("""COMPUTED_VALUE"""),"1.A.1.a  Public Electricity and Heat Production")</f>
        <v>1.A.1.a  Public Electricity and Heat Production</v>
      </c>
      <c r="E22" s="9">
        <f>IFERROR(__xludf.DUMMYFUNCTION("""COMPUTED_VALUE"""),-1.0)</f>
        <v>-1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IFERROR(__xludf.DUMMYFUNCTION("""COMPUTED_VALUE"""),"oil-and-gas-refining")</f>
        <v>oil-and-gas-refining</v>
      </c>
      <c r="C23" s="9" t="str">
        <f>IFERROR(__xludf.DUMMYFUNCTION("""COMPUTED_VALUE"""),"unfccc_annex_1")</f>
        <v>unfccc_annex_1</v>
      </c>
      <c r="D23" s="9" t="str">
        <f>IFERROR(__xludf.DUMMYFUNCTION("""COMPUTED_VALUE"""),"1.A.1.c  Manufacture of Solid Fuels and Other Energy Industries")</f>
        <v>1.A.1.c  Manufacture of Solid Fuels and Other Energy Industries</v>
      </c>
      <c r="E23" s="9">
        <f>IFERROR(__xludf.DUMMYFUNCTION("""COMPUTED_VALUE"""),-1.0)</f>
        <v>-1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IFERROR(__xludf.DUMMYFUNCTION("""COMPUTED_VALUE"""),"oil-and-gas-refining")</f>
        <v>oil-and-gas-refining</v>
      </c>
      <c r="C24" s="9" t="str">
        <f>IFERROR(__xludf.DUMMYFUNCTION("""COMPUTED_VALUE"""),"unfccc_annex_1")</f>
        <v>unfccc_annex_1</v>
      </c>
      <c r="D24" s="9" t="str">
        <f>IFERROR(__xludf.DUMMYFUNCTION("""COMPUTED_VALUE"""),"1.A.2  Manufacturing Industries and Construction")</f>
        <v>1.A.2  Manufacturing Industries and Construction</v>
      </c>
      <c r="E24" s="9">
        <f>IFERROR(__xludf.DUMMYFUNCTION("""COMPUTED_VALUE"""),-1.0)</f>
        <v>-1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IFERROR(__xludf.DUMMYFUNCTION("""COMPUTED_VALUE"""),"oil-and-gas-refining")</f>
        <v>oil-and-gas-refining</v>
      </c>
      <c r="C25" s="9" t="str">
        <f>IFERROR(__xludf.DUMMYFUNCTION("""COMPUTED_VALUE"""),"unfccc_annex_1")</f>
        <v>unfccc_annex_1</v>
      </c>
      <c r="D25" s="9" t="str">
        <f>IFERROR(__xludf.DUMMYFUNCTION("""COMPUTED_VALUE"""),"1.A.3  Transport")</f>
        <v>1.A.3  Transport</v>
      </c>
      <c r="E25" s="9">
        <f>IFERROR(__xludf.DUMMYFUNCTION("""COMPUTED_VALUE"""),-1.0)</f>
        <v>-1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IFERROR(__xludf.DUMMYFUNCTION("""COMPUTED_VALUE"""),"1.A.4  Other Sectors")</f>
        <v>1.A.4  Other Sectors</v>
      </c>
      <c r="E26" s="9">
        <f>IFERROR(__xludf.DUMMYFUNCTION("""COMPUTED_VALUE"""),-1.0)</f>
        <v>-1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IFERROR(__xludf.DUMMYFUNCTION("""COMPUTED_VALUE"""),"1.A.5  Other (Not specified elsewhere)")</f>
        <v>1.A.5  Other (Not specified elsewhere)</v>
      </c>
      <c r="E27" s="9">
        <f>IFERROR(__xludf.DUMMYFUNCTION("""COMPUTED_VALUE"""),-1.0)</f>
        <v>-1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IFERROR(__xludf.DUMMYFUNCTION("""COMPUTED_VALUE"""),"cement")</f>
        <v>cement</v>
      </c>
      <c r="C29" s="9" t="str">
        <f>IFERROR(__xludf.DUMMYFUNCTION("""COMPUTED_VALUE"""),"pik-tp")</f>
        <v>pik-tp</v>
      </c>
      <c r="D29" s="9" t="str">
        <f>IFERROR(__xludf.DUMMYFUNCTION("""COMPUTED_VALUE"""),"2.A")</f>
        <v>2.A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 t="str">
        <f>IFERROR(__xludf.DUMMYFUNCTION("""COMPUTED_VALUE"""),"unfccc_annex_1")</f>
        <v>unfccc_annex_1</v>
      </c>
      <c r="D30" s="9" t="str">
        <f>IFERROR(__xludf.DUMMYFUNCTION("""COMPUTED_VALUE"""),"2.A.2  Lime Production")</f>
        <v>2.A.2  Lime Production</v>
      </c>
      <c r="E30" s="9">
        <f>IFERROR(__xludf.DUMMYFUNCTION("""COMPUTED_VALUE"""),-1.0)</f>
        <v>-1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IFERROR(__xludf.DUMMYFUNCTION("""COMPUTED_VALUE"""),"cement")</f>
        <v>cement</v>
      </c>
      <c r="C31" s="9" t="str">
        <f>IFERROR(__xludf.DUMMYFUNCTION("""COMPUTED_VALUE"""),"unfccc_annex_1")</f>
        <v>unfccc_annex_1</v>
      </c>
      <c r="D31" s="9" t="str">
        <f>IFERROR(__xludf.DUMMYFUNCTION("""COMPUTED_VALUE"""),"2.A.3  Glass production")</f>
        <v>2.A.3  Glass production</v>
      </c>
      <c r="E31" s="9">
        <f>IFERROR(__xludf.DUMMYFUNCTION("""COMPUTED_VALUE"""),-1.0)</f>
        <v>-1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IFERROR(__xludf.DUMMYFUNCTION("""COMPUTED_VALUE"""),"cement")</f>
        <v>cement</v>
      </c>
      <c r="C32" s="9" t="str">
        <f>IFERROR(__xludf.DUMMYFUNCTION("""COMPUTED_VALUE"""),"unfccc_annex_1")</f>
        <v>unfccc_annex_1</v>
      </c>
      <c r="D32" s="9" t="str">
        <f>IFERROR(__xludf.DUMMYFUNCTION("""COMPUTED_VALUE"""),"2.A.4  Other Process Uses of Carbonates")</f>
        <v>2.A.4  Other Process Uses of Carbonates</v>
      </c>
      <c r="E32" s="9">
        <f>IFERROR(__xludf.DUMMYFUNCTION("""COMPUTED_VALUE"""),-1.0)</f>
        <v>-1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IFERROR(__xludf.DUMMYFUNCTION("""COMPUTED_VALUE"""),"chemicals")</f>
        <v>chemicals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IFERROR(__xludf.DUMMYFUNCTION("""COMPUTED_VALUE"""),"pik-tp")</f>
        <v>pik-tp</v>
      </c>
      <c r="D34" s="9" t="str">
        <f>IFERROR(__xludf.DUMMYFUNCTION("""COMPUTED_VALUE"""),"2.C")</f>
        <v>2.C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IFERROR(__xludf.DUMMYFUNCTION("""COMPUTED_VALUE"""),"2.C.3  Aluminium Production")</f>
        <v>2.C.3  Aluminium Production</v>
      </c>
      <c r="E35" s="9">
        <f>IFERROR(__xludf.DUMMYFUNCTION("""COMPUTED_VALUE"""),-1.0)</f>
        <v>-1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IFERROR(__xludf.DUMMYFUNCTION("""COMPUTED_VALUE"""),"2.C.2  Ferroalloys Production")</f>
        <v>2.C.2  Ferroalloys Production</v>
      </c>
      <c r="E36" s="9">
        <f>IFERROR(__xludf.DUMMYFUNCTION("""COMPUTED_VALUE"""),-1.0)</f>
        <v>-1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IFERROR(__xludf.DUMMYFUNCTION("""COMPUTED_VALUE"""),"2.C.4  Magnesium Production")</f>
        <v>2.C.4  Magnesium Production</v>
      </c>
      <c r="E37" s="9">
        <f>IFERROR(__xludf.DUMMYFUNCTION("""COMPUTED_VALUE"""),-1.0)</f>
        <v>-1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IFERROR(__xludf.DUMMYFUNCTION("""COMPUTED_VALUE"""),"2.C.5  Lead Production")</f>
        <v>2.C.5  Lead Production</v>
      </c>
      <c r="E38" s="9">
        <f>IFERROR(__xludf.DUMMYFUNCTION("""COMPUTED_VALUE"""),-1.0)</f>
        <v>-1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IFERROR(__xludf.DUMMYFUNCTION("""COMPUTED_VALUE"""),"steel")</f>
        <v>steel</v>
      </c>
      <c r="C39" s="9" t="str">
        <f>IFERROR(__xludf.DUMMYFUNCTION("""COMPUTED_VALUE"""),"unfccc_annex_1")</f>
        <v>unfccc_annex_1</v>
      </c>
      <c r="D39" s="9" t="str">
        <f>IFERROR(__xludf.DUMMYFUNCTION("""COMPUTED_VALUE"""),"2.C.6  Zinc Production")</f>
        <v>2.C.6  Zinc Production</v>
      </c>
      <c r="E39" s="9">
        <f>IFERROR(__xludf.DUMMYFUNCTION("""COMPUTED_VALUE"""),-1.0)</f>
        <v>-1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IFERROR(__xludf.DUMMYFUNCTION("""COMPUTED_VALUE"""),"steel")</f>
        <v>steel</v>
      </c>
      <c r="C40" s="9" t="str">
        <f>IFERROR(__xludf.DUMMYFUNCTION("""COMPUTED_VALUE"""),"unfccc_annex_1")</f>
        <v>unfccc_annex_1</v>
      </c>
      <c r="D40" s="9" t="str">
        <f>IFERROR(__xludf.DUMMYFUNCTION("""COMPUTED_VALUE"""),"2.C.7  Other")</f>
        <v>2.C.7  Other</v>
      </c>
      <c r="E40" s="9">
        <f>IFERROR(__xludf.DUMMYFUNCTION("""COMPUTED_VALUE"""),-1.0)</f>
        <v>-1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IFERROR(__xludf.DUMMYFUNCTION("""COMPUTED_VALUE"""),"pik-tp")</f>
        <v>pik-tp</v>
      </c>
      <c r="D41" s="9" t="str">
        <f>IFERROR(__xludf.DUMMYFUNCTION("""COMPUTED_VALUE"""),"2.C")</f>
        <v>2.C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IFERROR(__xludf.DUMMYFUNCTION("""COMPUTED_VALUE"""),"2.C.1  Iron and Steel Production")</f>
        <v>2.C.1  Iron and Steel Production</v>
      </c>
      <c r="E42" s="9">
        <f>IFERROR(__xludf.DUMMYFUNCTION("""COMPUTED_VALUE"""),-1.0)</f>
        <v>-1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IFERROR(__xludf.DUMMYFUNCTION("""COMPUTED_VALUE"""),"2.C.2  Ferroalloys Production")</f>
        <v>2.C.2  Ferroalloys Production</v>
      </c>
      <c r="E43" s="9">
        <f>IFERROR(__xludf.DUMMYFUNCTION("""COMPUTED_VALUE"""),-1.0)</f>
        <v>-1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IFERROR(__xludf.DUMMYFUNCTION("""COMPUTED_VALUE"""),"2.C.4  Magnesium Production")</f>
        <v>2.C.4  Magnesium Production</v>
      </c>
      <c r="E44" s="9">
        <f>IFERROR(__xludf.DUMMYFUNCTION("""COMPUTED_VALUE"""),-1.0)</f>
        <v>-1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IFERROR(__xludf.DUMMYFUNCTION("""COMPUTED_VALUE"""),"2.C.5  Lead Production")</f>
        <v>2.C.5  Lead Production</v>
      </c>
      <c r="E45" s="9">
        <f>IFERROR(__xludf.DUMMYFUNCTION("""COMPUTED_VALUE"""),-1.0)</f>
        <v>-1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IFERROR(__xludf.DUMMYFUNCTION("""COMPUTED_VALUE"""),"2.C.6  Zinc Production")</f>
        <v>2.C.6  Zinc Production</v>
      </c>
      <c r="E46" s="9">
        <f>IFERROR(__xludf.DUMMYFUNCTION("""COMPUTED_VALUE"""),-1.0)</f>
        <v>-1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IFERROR(__xludf.DUMMYFUNCTION("""COMPUTED_VALUE"""),"2.C.7  Other")</f>
        <v>2.C.7  Other</v>
      </c>
      <c r="E47" s="9">
        <f>IFERROR(__xludf.DUMMYFUNCTION("""COMPUTED_VALUE"""),-1.0)</f>
        <v>-1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IFERROR(__xludf.DUMMYFUNCTION("""COMPUTED_VALUE"""),"enteric-fermentation")</f>
        <v>enteric-fermentation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IFERROR(__xludf.DUMMYFUNCTION("""COMPUTED_VALUE"""),"manure-management")</f>
        <v>manure-management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IFERROR(__xludf.DUMMYFUNCTION("""COMPUTED_VALUE"""),"rice-cultivation")</f>
        <v>rice-cultivation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IFERROR(__xludf.DUMMYFUNCTION("""COMPUTED_VALUE"""),"synthetic-fertilizer-application")</f>
        <v>synthetic-fertilizer-application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IFERROR(__xludf.DUMMYFUNCTION("""COMPUTED_VALUE"""),"forest-land-fires")</f>
        <v>forest-land-fires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IFERROR(__xludf.DUMMYFUNCTION("""COMPUTED_VALUE"""),"forest-land-clearing")</f>
        <v>forest-land-clearing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IFERROR(__xludf.DUMMYFUNCTION("""COMPUTED_VALUE"""),"forest-land-degradation")</f>
        <v>forest-land-degradation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IFERROR(__xludf.DUMMYFUNCTION("""COMPUTED_VALUE"""),"net-forest-land")</f>
        <v>net-forest-land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IFERROR(__xludf.DUMMYFUNCTION("""COMPUTED_VALUE"""),"net-shrubgrass")</f>
        <v>net-shrubgrass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IFERROR(__xludf.DUMMYFUNCTION("""COMPUTED_VALUE"""),"net-wetland")</f>
        <v>net-wetland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IFERROR(__xludf.DUMMYFUNCTION("""COMPUTED_VALUE"""),"shrubgrass-fires")</f>
        <v>shrubgrass-fires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IFERROR(__xludf.DUMMYFUNCTION("""COMPUTED_VALUE"""),"wetland-fires")</f>
        <v>wetland-fires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IFERROR(__xludf.DUMMYFUNCTION("""COMPUTED_VALUE"""),"removals")</f>
        <v>removals</v>
      </c>
      <c r="C62" s="9"/>
      <c r="D62" s="9"/>
      <c r="E62" s="9"/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IFERROR(__xludf.DUMMYFUNCTION("""COMPUTED_VALUE"""),"water-reservoirs")</f>
        <v>water-reservoirs</v>
      </c>
      <c r="C63" s="9"/>
      <c r="D63" s="9"/>
      <c r="E63" s="9"/>
      <c r="F63" s="9"/>
      <c r="G63" s="9"/>
      <c r="H63" s="9"/>
      <c r="I63" s="9"/>
      <c r="J63" s="9"/>
    </row>
    <row r="64">
      <c r="A64" s="9" t="b">
        <f>IFERROR(__xludf.DUMMYFUNCTION("""COMPUTED_VALUE"""),FALSE)</f>
        <v>0</v>
      </c>
      <c r="B64" s="9" t="str">
        <f>IFERROR(__xludf.DUMMYFUNCTION("""COMPUTED_VALUE"""),"electricity-generation")</f>
        <v>electricity-generation</v>
      </c>
      <c r="C64" s="9" t="str">
        <f>IFERROR(__xludf.DUMMYFUNCTION("""COMPUTED_VALUE"""),"pik-tp")</f>
        <v>pik-tp</v>
      </c>
      <c r="D64" s="9" t="str">
        <f>IFERROR(__xludf.DUMMYFUNCTION("""COMPUTED_VALUE"""),"1.A")</f>
        <v>1.A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IFERROR(__xludf.DUMMYFUNCTION("""COMPUTED_VALUE"""),FALSE)</f>
        <v>0</v>
      </c>
      <c r="B65" s="9" t="str">
        <f>IFERROR(__xludf.DUMMYFUNCTION("""COMPUTED_VALUE"""),"electricity-generation")</f>
        <v>electricity-generation</v>
      </c>
      <c r="C65" s="9" t="str">
        <f>IFERROR(__xludf.DUMMYFUNCTION("""COMPUTED_VALUE"""),"unfccc_non_annex_1")</f>
        <v>unfccc_non_annex_1</v>
      </c>
      <c r="D65" s="9" t="str">
        <f>IFERROR(__xludf.DUMMYFUNCTION("""COMPUTED_VALUE"""),"1.A.2  Manufacturing Industries and Construction")</f>
        <v>1.A.2  Manufacturing Industries and Construction</v>
      </c>
      <c r="E65" s="9">
        <f>IFERROR(__xludf.DUMMYFUNCTION("""COMPUTED_VALUE"""),-1.0)</f>
        <v>-1</v>
      </c>
      <c r="F65" s="9"/>
      <c r="G65" s="9"/>
      <c r="H65" s="9"/>
      <c r="I65" s="9"/>
      <c r="J65" s="9"/>
    </row>
    <row r="66">
      <c r="A66" s="9" t="b">
        <f>IFERROR(__xludf.DUMMYFUNCTION("""COMPUTED_VALUE"""),FALSE)</f>
        <v>0</v>
      </c>
      <c r="B66" s="9" t="str">
        <f>IFERROR(__xludf.DUMMYFUNCTION("""COMPUTED_VALUE"""),"electricity-generation")</f>
        <v>electricity-generation</v>
      </c>
      <c r="C66" s="9" t="str">
        <f>IFERROR(__xludf.DUMMYFUNCTION("""COMPUTED_VALUE"""),"unfccc_non_annex_1")</f>
        <v>unfccc_non_annex_1</v>
      </c>
      <c r="D66" s="9" t="str">
        <f>IFERROR(__xludf.DUMMYFUNCTION("""COMPUTED_VALUE"""),"1.A.3  Transport")</f>
        <v>1.A.3  Transport</v>
      </c>
      <c r="E66" s="9">
        <f>IFERROR(__xludf.DUMMYFUNCTION("""COMPUTED_VALUE"""),-1.0)</f>
        <v>-1</v>
      </c>
      <c r="F66" s="9"/>
      <c r="G66" s="9"/>
      <c r="H66" s="9"/>
      <c r="I66" s="9"/>
      <c r="J66" s="9"/>
    </row>
    <row r="67">
      <c r="A67" s="9" t="b">
        <f>IFERROR(__xludf.DUMMYFUNCTION("""COMPUTED_VALUE"""),FALSE)</f>
        <v>0</v>
      </c>
      <c r="B67" s="9" t="str">
        <f>IFERROR(__xludf.DUMMYFUNCTION("""COMPUTED_VALUE"""),"electricity-generation")</f>
        <v>electricity-generation</v>
      </c>
      <c r="C67" s="9" t="str">
        <f>IFERROR(__xludf.DUMMYFUNCTION("""COMPUTED_VALUE"""),"unfccc_non_annex_1")</f>
        <v>unfccc_non_annex_1</v>
      </c>
      <c r="D67" s="9" t="str">
        <f>IFERROR(__xludf.DUMMYFUNCTION("""COMPUTED_VALUE"""),"1.A.4  Other Sectors")</f>
        <v>1.A.4  Other Sectors</v>
      </c>
      <c r="E67" s="9">
        <f>IFERROR(__xludf.DUMMYFUNCTION("""COMPUTED_VALUE"""),-1.0)</f>
        <v>-1</v>
      </c>
      <c r="F67" s="9"/>
      <c r="G67" s="9"/>
      <c r="H67" s="9"/>
      <c r="I67" s="9"/>
      <c r="J67" s="9"/>
    </row>
    <row r="68">
      <c r="A68" s="9" t="b">
        <f>IFERROR(__xludf.DUMMYFUNCTION("""COMPUTED_VALUE"""),FALSE)</f>
        <v>0</v>
      </c>
      <c r="B68" s="9" t="str">
        <f>IFERROR(__xludf.DUMMYFUNCTION("""COMPUTED_VALUE"""),"domestic-aviation")</f>
        <v>domestic-aviation</v>
      </c>
      <c r="C68" s="9"/>
      <c r="D68" s="9"/>
      <c r="E68" s="9"/>
      <c r="F68" s="9"/>
      <c r="G68" s="9"/>
      <c r="H68" s="9"/>
      <c r="I68" s="9"/>
      <c r="J68" s="9"/>
    </row>
    <row r="69">
      <c r="A69" s="9" t="b">
        <f>IFERROR(__xludf.DUMMYFUNCTION("""COMPUTED_VALUE"""),FALSE)</f>
        <v>0</v>
      </c>
      <c r="B69" s="9" t="str">
        <f>IFERROR(__xludf.DUMMYFUNCTION("""COMPUTED_VALUE"""),"international-aviation")</f>
        <v>international-aviation</v>
      </c>
      <c r="C69" s="9"/>
      <c r="D69" s="9"/>
      <c r="E69" s="9"/>
      <c r="F69" s="9"/>
      <c r="G69" s="9"/>
      <c r="H69" s="9"/>
      <c r="I69" s="9"/>
      <c r="J69" s="9"/>
    </row>
    <row r="70">
      <c r="A70" s="9" t="b">
        <f>IFERROR(__xludf.DUMMYFUNCTION("""COMPUTED_VALUE"""),FALSE)</f>
        <v>0</v>
      </c>
      <c r="B70" s="9" t="str">
        <f>IFERROR(__xludf.DUMMYFUNCTION("""COMPUTED_VALUE"""),"international-shipping")</f>
        <v>international-shipping</v>
      </c>
      <c r="C70" s="9"/>
      <c r="D70" s="9"/>
      <c r="E70" s="9"/>
      <c r="F70" s="9"/>
      <c r="G70" s="9"/>
      <c r="H70" s="9"/>
      <c r="I70" s="9"/>
      <c r="J70" s="9"/>
    </row>
    <row r="71">
      <c r="A71" s="9" t="b">
        <f>IFERROR(__xludf.DUMMYFUNCTION("""COMPUTED_VALUE"""),FALSE)</f>
        <v>0</v>
      </c>
      <c r="B71" s="9" t="str">
        <f>IFERROR(__xludf.DUMMYFUNCTION("""COMPUTED_VALUE"""),"domestic-shipping")</f>
        <v>domestic-shipping</v>
      </c>
      <c r="C71" s="9"/>
      <c r="D71" s="9"/>
      <c r="E71" s="9"/>
      <c r="F71" s="9"/>
      <c r="G71" s="9"/>
      <c r="H71" s="9"/>
      <c r="I71" s="9"/>
      <c r="J71" s="9"/>
    </row>
    <row r="72">
      <c r="A72" s="9" t="b">
        <f>IFERROR(__xludf.DUMMYFUNCTION("""COMPUTED_VALUE"""),FALSE)</f>
        <v>0</v>
      </c>
      <c r="B72" s="9" t="str">
        <f>IFERROR(__xludf.DUMMYFUNCTION("""COMPUTED_VALUE"""),"coal-mining")</f>
        <v>coal-mining</v>
      </c>
      <c r="C72" s="9"/>
      <c r="D72" s="9"/>
      <c r="E72" s="9"/>
      <c r="F72" s="9"/>
      <c r="G72" s="9"/>
      <c r="H72" s="9"/>
      <c r="I72" s="9"/>
      <c r="J72" s="9"/>
    </row>
    <row r="73">
      <c r="A73" s="9" t="b">
        <f>IFERROR(__xludf.DUMMYFUNCTION("""COMPUTED_VALUE"""),FALSE)</f>
        <v>0</v>
      </c>
      <c r="B73" s="9" t="str">
        <f>IFERROR(__xludf.DUMMYFUNCTION("""COMPUTED_VALUE"""),"oil-and-gas-production-and-transport")</f>
        <v>oil-and-gas-production-and-transport</v>
      </c>
      <c r="C73" s="9" t="str">
        <f>IFERROR(__xludf.DUMMYFUNCTION("""COMPUTED_VALUE"""),"pik-tp")</f>
        <v>pik-tp</v>
      </c>
      <c r="D73" s="9" t="str">
        <f>IFERROR(__xludf.DUMMYFUNCTION("""COMPUTED_VALUE"""),"1.B")</f>
        <v>1.B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IFERROR(__xludf.DUMMYFUNCTION("""COMPUTED_VALUE"""),FALSE)</f>
        <v>0</v>
      </c>
      <c r="B74" s="9" t="str">
        <f>IFERROR(__xludf.DUMMYFUNCTION("""COMPUTED_VALUE"""),"oil-and-gas-production-and-transport")</f>
        <v>oil-and-gas-production-and-transport</v>
      </c>
      <c r="C74" s="9" t="str">
        <f>IFERROR(__xludf.DUMMYFUNCTION("""COMPUTED_VALUE"""),"unfccc_non_annex_1")</f>
        <v>unfccc_non_annex_1</v>
      </c>
      <c r="D74" s="9" t="str">
        <f>IFERROR(__xludf.DUMMYFUNCTION("""COMPUTED_VALUE"""),"1.B.1  Solid Fuels")</f>
        <v>1.B.1  Solid Fuels</v>
      </c>
      <c r="E74" s="9">
        <f>IFERROR(__xludf.DUMMYFUNCTION("""COMPUTED_VALUE"""),-1.0)</f>
        <v>-1</v>
      </c>
      <c r="F74" s="9"/>
      <c r="G74" s="9"/>
      <c r="H74" s="9"/>
      <c r="I74" s="9"/>
      <c r="J74" s="9"/>
    </row>
    <row r="75">
      <c r="A75" s="9" t="b">
        <f>IFERROR(__xludf.DUMMYFUNCTION("""COMPUTED_VALUE"""),FALSE)</f>
        <v>0</v>
      </c>
      <c r="B75" s="9" t="str">
        <f>IFERROR(__xludf.DUMMYFUNCTION("""COMPUTED_VALUE"""),"oil-and-gas-refining")</f>
        <v>oil-and-gas-refining</v>
      </c>
      <c r="C75" s="9"/>
      <c r="D75" s="9"/>
      <c r="E75" s="9"/>
      <c r="F75" s="9"/>
      <c r="G75" s="9"/>
      <c r="H75" s="9"/>
      <c r="I75" s="9"/>
      <c r="J75" s="9"/>
    </row>
    <row r="76">
      <c r="A76" s="9" t="b">
        <f>IFERROR(__xludf.DUMMYFUNCTION("""COMPUTED_VALUE"""),FALSE)</f>
        <v>0</v>
      </c>
      <c r="B76" s="9" t="str">
        <f>IFERROR(__xludf.DUMMYFUNCTION("""COMPUTED_VALUE"""),"petrochemicals")</f>
        <v>petrochemicals</v>
      </c>
      <c r="C76" s="9"/>
      <c r="D76" s="9"/>
      <c r="E76" s="9"/>
      <c r="F76" s="9"/>
      <c r="G76" s="9"/>
      <c r="H76" s="9"/>
      <c r="I76" s="9"/>
      <c r="J76" s="9"/>
    </row>
    <row r="77">
      <c r="A77" s="9" t="b">
        <f>IFERROR(__xludf.DUMMYFUNCTION("""COMPUTED_VALUE"""),FALSE)</f>
        <v>0</v>
      </c>
      <c r="B77" s="9" t="str">
        <f>IFERROR(__xludf.DUMMYFUNCTION("""COMPUTED_VALUE"""),"cement")</f>
        <v>cement</v>
      </c>
      <c r="C77" s="9" t="str">
        <f>IFERROR(__xludf.DUMMYFUNCTION("""COMPUTED_VALUE"""),"pik-tp")</f>
        <v>pik-tp</v>
      </c>
      <c r="D77" s="9" t="str">
        <f>IFERROR(__xludf.DUMMYFUNCTION("""COMPUTED_VALUE"""),"2.A")</f>
        <v>2.A</v>
      </c>
      <c r="E77" s="9">
        <f>IFERROR(__xludf.DUMMYFUNCTION("""COMPUTED_VALUE"""),1.0)</f>
        <v>1</v>
      </c>
      <c r="F77" s="9"/>
      <c r="G77" s="9"/>
      <c r="H77" s="9"/>
      <c r="I77" s="9"/>
      <c r="J77" s="9"/>
    </row>
    <row r="78">
      <c r="A78" s="9" t="b">
        <f>IFERROR(__xludf.DUMMYFUNCTION("""COMPUTED_VALUE"""),FALSE)</f>
        <v>0</v>
      </c>
      <c r="B78" s="9" t="str">
        <f>IFERROR(__xludf.DUMMYFUNCTION("""COMPUTED_VALUE"""),"cement")</f>
        <v>cement</v>
      </c>
      <c r="C78" s="9" t="str">
        <f>IFERROR(__xludf.DUMMYFUNCTION("""COMPUTED_VALUE"""),"unfccc_non_annex_1")</f>
        <v>unfccc_non_annex_1</v>
      </c>
      <c r="D78" s="9" t="str">
        <f>IFERROR(__xludf.DUMMYFUNCTION("""COMPUTED_VALUE"""),"2.A.2  Lime Production")</f>
        <v>2.A.2  Lime Production</v>
      </c>
      <c r="E78" s="9">
        <f>IFERROR(__xludf.DUMMYFUNCTION("""COMPUTED_VALUE"""),-1.0)</f>
        <v>-1</v>
      </c>
      <c r="F78" s="9"/>
      <c r="G78" s="9"/>
      <c r="H78" s="9"/>
      <c r="I78" s="9"/>
      <c r="J78" s="9"/>
    </row>
    <row r="79">
      <c r="A79" s="9" t="b">
        <f>IFERROR(__xludf.DUMMYFUNCTION("""COMPUTED_VALUE"""),FALSE)</f>
        <v>0</v>
      </c>
      <c r="B79" s="9" t="str">
        <f>IFERROR(__xludf.DUMMYFUNCTION("""COMPUTED_VALUE"""),"cement")</f>
        <v>cement</v>
      </c>
      <c r="C79" s="9" t="str">
        <f>IFERROR(__xludf.DUMMYFUNCTION("""COMPUTED_VALUE"""),"unfccc_non_annex_1")</f>
        <v>unfccc_non_annex_1</v>
      </c>
      <c r="D79" s="9" t="str">
        <f>IFERROR(__xludf.DUMMYFUNCTION("""COMPUTED_VALUE"""),"2.A.3  Glass production")</f>
        <v>2.A.3  Glass production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IFERROR(__xludf.DUMMYFUNCTION("""COMPUTED_VALUE"""),FALSE)</f>
        <v>0</v>
      </c>
      <c r="B80" s="9" t="str">
        <f>IFERROR(__xludf.DUMMYFUNCTION("""COMPUTED_VALUE"""),"cement")</f>
        <v>cement</v>
      </c>
      <c r="C80" s="9" t="str">
        <f>IFERROR(__xludf.DUMMYFUNCTION("""COMPUTED_VALUE"""),"unfccc_non_annex_1")</f>
        <v>unfccc_non_annex_1</v>
      </c>
      <c r="D80" s="9" t="str">
        <f>IFERROR(__xludf.DUMMYFUNCTION("""COMPUTED_VALUE"""),"2.A.4  Other Process Uses of Carbonates")</f>
        <v>2.A.4  Other Process Uses of Carbonates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IFERROR(__xludf.DUMMYFUNCTION("""COMPUTED_VALUE"""),FALSE)</f>
        <v>0</v>
      </c>
      <c r="B81" s="9" t="str">
        <f>IFERROR(__xludf.DUMMYFUNCTION("""COMPUTED_VALUE"""),"chemicals")</f>
        <v>chemicals</v>
      </c>
      <c r="C81" s="9"/>
      <c r="D81" s="9"/>
      <c r="E81" s="9"/>
      <c r="F81" s="9"/>
      <c r="G81" s="9"/>
      <c r="H81" s="9"/>
      <c r="I81" s="9"/>
      <c r="J81" s="9"/>
    </row>
    <row r="82">
      <c r="A82" s="9" t="b">
        <f>IFERROR(__xludf.DUMMYFUNCTION("""COMPUTED_VALUE"""),FALSE)</f>
        <v>0</v>
      </c>
      <c r="B82" s="9" t="str">
        <f>IFERROR(__xludf.DUMMYFUNCTION("""COMPUTED_VALUE"""),"steel")</f>
        <v>steel</v>
      </c>
      <c r="C82" s="9" t="str">
        <f>IFERROR(__xludf.DUMMYFUNCTION("""COMPUTED_VALUE"""),"pik-tp")</f>
        <v>pik-tp</v>
      </c>
      <c r="D82" s="9" t="str">
        <f>IFERROR(__xludf.DUMMYFUNCTION("""COMPUTED_VALUE"""),"2.C")</f>
        <v>2.C</v>
      </c>
      <c r="E82" s="9">
        <f>IFERROR(__xludf.DUMMYFUNCTION("""COMPUTED_VALUE"""),1.0)</f>
        <v>1</v>
      </c>
      <c r="F82" s="9"/>
      <c r="G82" s="9"/>
      <c r="H82" s="9"/>
      <c r="I82" s="9"/>
      <c r="J82" s="9"/>
    </row>
    <row r="83">
      <c r="A83" s="9" t="b">
        <f>IFERROR(__xludf.DUMMYFUNCTION("""COMPUTED_VALUE"""),FALSE)</f>
        <v>0</v>
      </c>
      <c r="B83" s="9" t="str">
        <f>IFERROR(__xludf.DUMMYFUNCTION("""COMPUTED_VALUE"""),"aluminum")</f>
        <v>aluminum</v>
      </c>
      <c r="C83" s="9"/>
      <c r="D83" s="9"/>
      <c r="E83" s="9"/>
      <c r="F83" s="9"/>
      <c r="G83" s="9"/>
      <c r="H83" s="9"/>
      <c r="I83" s="9"/>
      <c r="J83" s="9"/>
    </row>
    <row r="84">
      <c r="A84" s="9" t="b">
        <f>IFERROR(__xludf.DUMMYFUNCTION("""COMPUTED_VALUE"""),FALSE)</f>
        <v>0</v>
      </c>
      <c r="B84" s="9" t="str">
        <f>IFERROR(__xludf.DUMMYFUNCTION("""COMPUTED_VALUE"""),"pulp-and-paper")</f>
        <v>pulp-and-paper</v>
      </c>
      <c r="C84" s="9"/>
      <c r="D84" s="9"/>
      <c r="E84" s="9"/>
      <c r="F84" s="9"/>
      <c r="G84" s="9"/>
      <c r="H84" s="9"/>
      <c r="I84" s="9"/>
      <c r="J84" s="9"/>
    </row>
    <row r="85">
      <c r="A85" s="9" t="b">
        <f>IFERROR(__xludf.DUMMYFUNCTION("""COMPUTED_VALUE"""),FALSE)</f>
        <v>0</v>
      </c>
      <c r="B85" s="9" t="str">
        <f>IFERROR(__xludf.DUMMYFUNCTION("""COMPUTED_VALUE"""),"mining-and-quarrying")</f>
        <v>mining-and-quarrying</v>
      </c>
      <c r="C85" s="9"/>
      <c r="D85" s="9"/>
      <c r="E85" s="9"/>
      <c r="F85" s="9"/>
      <c r="G85" s="9"/>
      <c r="H85" s="9"/>
      <c r="I85" s="9"/>
      <c r="J85" s="9"/>
    </row>
    <row r="86">
      <c r="A86" s="9" t="b">
        <f>IFERROR(__xludf.DUMMYFUNCTION("""COMPUTED_VALUE"""),FALSE)</f>
        <v>0</v>
      </c>
      <c r="B86" s="9" t="str">
        <f>IFERROR(__xludf.DUMMYFUNCTION("""COMPUTED_VALUE"""),"enteric-fermentation")</f>
        <v>enteric-fermentation</v>
      </c>
      <c r="C86" s="9"/>
      <c r="D86" s="9"/>
      <c r="E86" s="9"/>
      <c r="F86" s="9"/>
      <c r="G86" s="9"/>
      <c r="H86" s="9"/>
      <c r="I86" s="9"/>
      <c r="J86" s="9"/>
    </row>
    <row r="87">
      <c r="A87" s="9" t="b">
        <f>IFERROR(__xludf.DUMMYFUNCTION("""COMPUTED_VALUE"""),FALSE)</f>
        <v>0</v>
      </c>
      <c r="B87" s="9" t="str">
        <f>IFERROR(__xludf.DUMMYFUNCTION("""COMPUTED_VALUE"""),"manure-management")</f>
        <v>manure-management</v>
      </c>
      <c r="C87" s="9"/>
      <c r="D87" s="9"/>
      <c r="E87" s="9"/>
      <c r="F87" s="9"/>
      <c r="G87" s="9"/>
      <c r="H87" s="9"/>
      <c r="I87" s="9"/>
      <c r="J87" s="9"/>
    </row>
    <row r="88">
      <c r="A88" s="9" t="b">
        <f>IFERROR(__xludf.DUMMYFUNCTION("""COMPUTED_VALUE"""),FALSE)</f>
        <v>0</v>
      </c>
      <c r="B88" s="9" t="str">
        <f>IFERROR(__xludf.DUMMYFUNCTION("""COMPUTED_VALUE"""),"rice-cultivation")</f>
        <v>rice-cultivation</v>
      </c>
      <c r="C88" s="9"/>
      <c r="D88" s="9"/>
      <c r="E88" s="9"/>
      <c r="F88" s="9"/>
      <c r="G88" s="9"/>
      <c r="H88" s="9"/>
      <c r="I88" s="9"/>
      <c r="J88" s="9"/>
    </row>
    <row r="89">
      <c r="A89" s="9" t="b">
        <f>IFERROR(__xludf.DUMMYFUNCTION("""COMPUTED_VALUE"""),FALSE)</f>
        <v>0</v>
      </c>
      <c r="B89" s="9" t="str">
        <f>IFERROR(__xludf.DUMMYFUNCTION("""COMPUTED_VALUE"""),"synthetic-fertilizer-application")</f>
        <v>synthetic-fertilizer-application</v>
      </c>
      <c r="C89" s="9"/>
      <c r="D89" s="9"/>
      <c r="E89" s="9"/>
      <c r="F89" s="9"/>
      <c r="G89" s="9"/>
      <c r="H89" s="9"/>
      <c r="I89" s="9"/>
      <c r="J89" s="9"/>
    </row>
    <row r="90">
      <c r="A90" s="9" t="b">
        <f>IFERROR(__xludf.DUMMYFUNCTION("""COMPUTED_VALUE"""),FALSE)</f>
        <v>0</v>
      </c>
      <c r="B90" s="9" t="str">
        <f>IFERROR(__xludf.DUMMYFUNCTION("""COMPUTED_VALUE"""),"forest-land-fires")</f>
        <v>forest-land-fires</v>
      </c>
      <c r="C90" s="9"/>
      <c r="D90" s="9"/>
      <c r="E90" s="9"/>
      <c r="F90" s="9"/>
      <c r="G90" s="9"/>
      <c r="H90" s="9"/>
      <c r="I90" s="9"/>
      <c r="J90" s="9"/>
    </row>
    <row r="91">
      <c r="A91" s="9" t="b">
        <f>IFERROR(__xludf.DUMMYFUNCTION("""COMPUTED_VALUE"""),FALSE)</f>
        <v>0</v>
      </c>
      <c r="B91" s="9" t="str">
        <f>IFERROR(__xludf.DUMMYFUNCTION("""COMPUTED_VALUE"""),"forest-land-clearing")</f>
        <v>forest-land-clearing</v>
      </c>
      <c r="C91" s="9"/>
      <c r="D91" s="9"/>
      <c r="E91" s="9"/>
      <c r="F91" s="9"/>
      <c r="G91" s="9"/>
      <c r="H91" s="9"/>
      <c r="I91" s="9"/>
      <c r="J91" s="9"/>
    </row>
    <row r="92">
      <c r="A92" s="9" t="b">
        <f>IFERROR(__xludf.DUMMYFUNCTION("""COMPUTED_VALUE"""),FALSE)</f>
        <v>0</v>
      </c>
      <c r="B92" s="9" t="str">
        <f>IFERROR(__xludf.DUMMYFUNCTION("""COMPUTED_VALUE"""),"forest-land-degradation")</f>
        <v>forest-land-degradation</v>
      </c>
      <c r="C92" s="9"/>
      <c r="D92" s="9"/>
      <c r="E92" s="9"/>
      <c r="F92" s="9"/>
      <c r="G92" s="9"/>
      <c r="H92" s="9"/>
      <c r="I92" s="9"/>
      <c r="J92" s="9"/>
    </row>
    <row r="93">
      <c r="A93" s="9" t="b">
        <f>IFERROR(__xludf.DUMMYFUNCTION("""COMPUTED_VALUE"""),FALSE)</f>
        <v>0</v>
      </c>
      <c r="B93" s="9" t="str">
        <f>IFERROR(__xludf.DUMMYFUNCTION("""COMPUTED_VALUE"""),"net-forest-land")</f>
        <v>net-forest-land</v>
      </c>
      <c r="C93" s="9"/>
      <c r="D93" s="9"/>
      <c r="E93" s="9"/>
      <c r="F93" s="9"/>
      <c r="G93" s="9"/>
      <c r="H93" s="9"/>
      <c r="I93" s="9"/>
      <c r="J93" s="9"/>
    </row>
    <row r="94">
      <c r="A94" s="9" t="b">
        <f>IFERROR(__xludf.DUMMYFUNCTION("""COMPUTED_VALUE"""),FALSE)</f>
        <v>0</v>
      </c>
      <c r="B94" s="9" t="str">
        <f>IFERROR(__xludf.DUMMYFUNCTION("""COMPUTED_VALUE"""),"net-shrubgrass")</f>
        <v>net-shrubgrass</v>
      </c>
      <c r="C94" s="9"/>
      <c r="D94" s="9"/>
      <c r="E94" s="9"/>
      <c r="F94" s="9"/>
      <c r="G94" s="9"/>
      <c r="H94" s="9"/>
      <c r="I94" s="9"/>
      <c r="J94" s="9"/>
    </row>
    <row r="95">
      <c r="A95" s="9" t="b">
        <f>IFERROR(__xludf.DUMMYFUNCTION("""COMPUTED_VALUE"""),FALSE)</f>
        <v>0</v>
      </c>
      <c r="B95" s="9" t="str">
        <f>IFERROR(__xludf.DUMMYFUNCTION("""COMPUTED_VALUE"""),"net-wetland")</f>
        <v>net-wetland</v>
      </c>
      <c r="C95" s="9"/>
      <c r="D95" s="9"/>
      <c r="E95" s="9"/>
      <c r="F95" s="9"/>
      <c r="G95" s="9"/>
      <c r="H95" s="9"/>
      <c r="I95" s="9"/>
      <c r="J95" s="9"/>
    </row>
    <row r="96">
      <c r="A96" s="9" t="b">
        <f>IFERROR(__xludf.DUMMYFUNCTION("""COMPUTED_VALUE"""),FALSE)</f>
        <v>0</v>
      </c>
      <c r="B96" s="9" t="str">
        <f>IFERROR(__xludf.DUMMYFUNCTION("""COMPUTED_VALUE"""),"shrubgrass-fires")</f>
        <v>shrubgrass-fires</v>
      </c>
      <c r="C96" s="9"/>
      <c r="D96" s="9"/>
      <c r="E96" s="9"/>
      <c r="F96" s="9"/>
      <c r="G96" s="9"/>
      <c r="H96" s="9"/>
      <c r="I96" s="9"/>
      <c r="J96" s="9"/>
    </row>
    <row r="97">
      <c r="A97" s="9" t="b">
        <f>IFERROR(__xludf.DUMMYFUNCTION("""COMPUTED_VALUE"""),FALSE)</f>
        <v>0</v>
      </c>
      <c r="B97" s="9" t="str">
        <f>IFERROR(__xludf.DUMMYFUNCTION("""COMPUTED_VALUE"""),"wetland-fires")</f>
        <v>wetland-fires</v>
      </c>
      <c r="C97" s="9"/>
      <c r="D97" s="9"/>
      <c r="E97" s="9"/>
      <c r="F97" s="9"/>
      <c r="G97" s="9"/>
      <c r="H97" s="9"/>
      <c r="I97" s="9"/>
      <c r="J97" s="9"/>
    </row>
    <row r="98">
      <c r="A98" s="9" t="b">
        <f>IFERROR(__xludf.DUMMYFUNCTION("""COMPUTED_VALUE"""),FALSE)</f>
        <v>0</v>
      </c>
      <c r="B98" s="9" t="str">
        <f>IFERROR(__xludf.DUMMYFUNCTION("""COMPUTED_VALUE"""),"removals")</f>
        <v>removals</v>
      </c>
      <c r="C98" s="9"/>
      <c r="D98" s="9"/>
      <c r="E98" s="9"/>
      <c r="F98" s="9"/>
      <c r="G98" s="9"/>
      <c r="H98" s="9"/>
      <c r="I98" s="9"/>
      <c r="J98" s="9"/>
    </row>
    <row r="99">
      <c r="A99" s="9" t="b">
        <f>IFERROR(__xludf.DUMMYFUNCTION("""COMPUTED_VALUE"""),FALSE)</f>
        <v>0</v>
      </c>
      <c r="B99" s="9" t="str">
        <f>IFERROR(__xludf.DUMMYFUNCTION("""COMPUTED_VALUE"""),"water-reservoirs")</f>
        <v>water-reservoirs</v>
      </c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""faostat-graph-utility!A1:J200"")"),"Annex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/>
      <c r="D2" s="9"/>
      <c r="E2" s="9"/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IFERROR(__xludf.DUMMYFUNCTION("""COMPUTED_VALUE"""),"domestic-aviation")</f>
        <v>domestic-aviation</v>
      </c>
      <c r="C3" s="9"/>
      <c r="D3" s="9"/>
      <c r="E3" s="9"/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IFERROR(__xludf.DUMMYFUNCTION("""COMPUTED_VALUE"""),"international-aviation")</f>
        <v>international-aviation</v>
      </c>
      <c r="C4" s="9"/>
      <c r="D4" s="9"/>
      <c r="E4" s="9"/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IFERROR(__xludf.DUMMYFUNCTION("""COMPUTED_VALUE"""),"international-shipping")</f>
        <v>international-shipping</v>
      </c>
      <c r="C5" s="9"/>
      <c r="D5" s="9"/>
      <c r="E5" s="9"/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/>
      <c r="D6" s="9"/>
      <c r="E6" s="9"/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IFERROR(__xludf.DUMMYFUNCTION("""COMPUTED_VALUE"""),"oil-and-gas-production-and-transport")</f>
        <v>oil-and-gas-production-and-transport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IFERROR(__xludf.DUMMYFUNCTION("""COMPUTED_VALUE"""),"oil-and-gas-refining")</f>
        <v>oil-and-gas-refining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IFERROR(__xludf.DUMMYFUNCTION("""COMPUTED_VALUE"""),"petrochemicals")</f>
        <v>petrochemicals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IFERROR(__xludf.DUMMYFUNCTION("""COMPUTED_VALUE"""),"cement")</f>
        <v>cement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IFERROR(__xludf.DUMMYFUNCTION("""COMPUTED_VALUE"""),"chemicals")</f>
        <v>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IFERROR(__xludf.DUMMYFUNCTION("""COMPUTED_VALUE"""),"steel")</f>
        <v>steel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IFERROR(__xludf.DUMMYFUNCTION("""COMPUTED_VALUE"""),"aluminum")</f>
        <v>aluminum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IFERROR(__xludf.DUMMYFUNCTION("""COMPUTED_VALUE"""),"pulp-and-paper")</f>
        <v>pulp-and-paper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IFERROR(__xludf.DUMMYFUNCTION("""COMPUTED_VALUE"""),"mining-and-quarrying")</f>
        <v>mining-and-quarrying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IFERROR(__xludf.DUMMYFUNCTION("""COMPUTED_VALUE"""),"enteric-fermentation-cattle")</f>
        <v>enteric-fermentation-cattle</v>
      </c>
      <c r="C17" s="9" t="str">
        <f>IFERROR(__xludf.DUMMYFUNCTION("""COMPUTED_VALUE"""),"faostat")</f>
        <v>faostat</v>
      </c>
      <c r="D17" s="9" t="str">
        <f>IFERROR(__xludf.DUMMYFUNCTION("""COMPUTED_VALUE"""),"Enteric Fermentation")</f>
        <v>Enteric Fermentation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IFERROR(__xludf.DUMMYFUNCTION("""COMPUTED_VALUE"""),"enteric-fermentation-cattle")</f>
        <v>enteric-fermentation-cattle</v>
      </c>
      <c r="C18" s="9" t="str">
        <f>IFERROR(__xludf.DUMMYFUNCTION("""COMPUTED_VALUE"""),"climate-trace")</f>
        <v>climate-trace</v>
      </c>
      <c r="D18" s="9" t="str">
        <f>IFERROR(__xludf.DUMMYFUNCTION("""COMPUTED_VALUE"""),"enteric-fermentation-other")</f>
        <v>enteric-fermentation-other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IFERROR(__xludf.DUMMYFUNCTION("""COMPUTED_VALUE"""),"manure-management-cattle")</f>
        <v>manure-management-cattle</v>
      </c>
      <c r="C19" s="9" t="str">
        <f>IFERROR(__xludf.DUMMYFUNCTION("""COMPUTED_VALUE"""),"faostat")</f>
        <v>faostat</v>
      </c>
      <c r="D19" s="9" t="str">
        <f>IFERROR(__xludf.DUMMYFUNCTION("""COMPUTED_VALUE"""),"Manure Management")</f>
        <v>Manure Management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IFERROR(__xludf.DUMMYFUNCTION("""COMPUTED_VALUE"""),"manure-management-cattle")</f>
        <v>manure-management-cattle</v>
      </c>
      <c r="C20" s="9" t="str">
        <f>IFERROR(__xludf.DUMMYFUNCTION("""COMPUTED_VALUE"""),"climate-trace")</f>
        <v>climate-trace</v>
      </c>
      <c r="D20" s="9" t="str">
        <f>IFERROR(__xludf.DUMMYFUNCTION("""COMPUTED_VALUE"""),"manure-management-other")</f>
        <v>manure-management-other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IFERROR(__xludf.DUMMYFUNCTION("""COMPUTED_VALUE"""),"rice-cultivation")</f>
        <v>rice-cultivation</v>
      </c>
      <c r="C21" s="9" t="str">
        <f>IFERROR(__xludf.DUMMYFUNCTION("""COMPUTED_VALUE"""),"faostat")</f>
        <v>faostat</v>
      </c>
      <c r="D21" s="9" t="str">
        <f>IFERROR(__xludf.DUMMYFUNCTION("""COMPUTED_VALUE"""),"Rice Cultivation")</f>
        <v>Rice Cultivation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IFERROR(__xludf.DUMMYFUNCTION("""COMPUTED_VALUE"""),"synthetic-fertilizer-application")</f>
        <v>synthetic-fertilizer-application</v>
      </c>
      <c r="C22" s="9" t="str">
        <f>IFERROR(__xludf.DUMMYFUNCTION("""COMPUTED_VALUE"""),"faostat")</f>
        <v>faostat</v>
      </c>
      <c r="D22" s="9" t="str">
        <f>IFERROR(__xludf.DUMMYFUNCTION("""COMPUTED_VALUE"""),"Synthetic Fertilizers")</f>
        <v>Synthetic Fertilizers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IFERROR(__xludf.DUMMYFUNCTION("""COMPUTED_VALUE"""),"cropland-fires")</f>
        <v>cropland-fires</v>
      </c>
      <c r="C23" s="9" t="str">
        <f>IFERROR(__xludf.DUMMYFUNCTION("""COMPUTED_VALUE"""),"faostat")</f>
        <v>faostat</v>
      </c>
      <c r="D23" s="9" t="str">
        <f>IFERROR(__xludf.DUMMYFUNCTION("""COMPUTED_VALUE"""),"Burning - Crop residues")</f>
        <v>Burning - Crop residues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IFERROR(__xludf.DUMMYFUNCTION("""COMPUTED_VALUE"""),"forest-land-fires")</f>
        <v>forest-land-fires</v>
      </c>
      <c r="C24" s="9" t="str">
        <f>IFERROR(__xludf.DUMMYFUNCTION("""COMPUTED_VALUE"""),"faostat")</f>
        <v>faostat</v>
      </c>
      <c r="D24" s="9" t="str">
        <f>IFERROR(__xludf.DUMMYFUNCTION("""COMPUTED_VALUE"""),"Forest fires")</f>
        <v>Forest fires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IFERROR(__xludf.DUMMYFUNCTION("""COMPUTED_VALUE"""),"forest-land-clearing")</f>
        <v>forest-land-clearing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IFERROR(__xludf.DUMMYFUNCTION("""COMPUTED_VALUE"""),"forest-land-degradation")</f>
        <v>forest-land-degradation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IFERROR(__xludf.DUMMYFUNCTION("""COMPUTED_VALUE"""),"net-forest-land")</f>
        <v>net-forest-land</v>
      </c>
      <c r="C27" s="9" t="str">
        <f>IFERROR(__xludf.DUMMYFUNCTION("""COMPUTED_VALUE"""),"faostat")</f>
        <v>faostat</v>
      </c>
      <c r="D27" s="9" t="str">
        <f>IFERROR(__xludf.DUMMYFUNCTION("""COMPUTED_VALUE"""),"Forestland")</f>
        <v>Forestland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IFERROR(__xludf.DUMMYFUNCTION("""COMPUTED_VALUE"""),"net-shrubgrass")</f>
        <v>net-shrubgrass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IFERROR(__xludf.DUMMYFUNCTION("""COMPUTED_VALUE"""),"net-wetland")</f>
        <v>net-wetland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IFERROR(__xludf.DUMMYFUNCTION("""COMPUTED_VALUE"""),"shrubgrass-fires")</f>
        <v>shrubgrass-fires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IFERROR(__xludf.DUMMYFUNCTION("""COMPUTED_VALUE"""),"wetland-fires")</f>
        <v>wetland-fires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IFERROR(__xludf.DUMMYFUNCTION("""COMPUTED_VALUE"""),"removals")</f>
        <v>removals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IFERROR(__xludf.DUMMYFUNCTION("""COMPUTED_VALUE"""),"water-reservoirs")</f>
        <v>water-reservoirs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IFERROR(__xludf.DUMMYFUNCTION("""COMPUTED_VALUE"""),FALSE)</f>
        <v>0</v>
      </c>
      <c r="B34" s="9" t="str">
        <f>IFERROR(__xludf.DUMMYFUNCTION("""COMPUTED_VALUE"""),"electricity-generation")</f>
        <v>electricity-generation</v>
      </c>
      <c r="C34" s="9"/>
      <c r="D34" s="9"/>
      <c r="E34" s="9"/>
      <c r="F34" s="9"/>
      <c r="G34" s="9"/>
      <c r="H34" s="9"/>
      <c r="I34" s="9"/>
      <c r="J34" s="9"/>
    </row>
    <row r="35">
      <c r="A35" s="9" t="b">
        <f>IFERROR(__xludf.DUMMYFUNCTION("""COMPUTED_VALUE"""),FALSE)</f>
        <v>0</v>
      </c>
      <c r="B35" s="9" t="str">
        <f>IFERROR(__xludf.DUMMYFUNCTION("""COMPUTED_VALUE"""),"domestic-aviation")</f>
        <v>domestic-aviation</v>
      </c>
      <c r="C35" s="9"/>
      <c r="D35" s="9"/>
      <c r="E35" s="9"/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IFERROR(__xludf.DUMMYFUNCTION("""COMPUTED_VALUE"""),"international-aviation")</f>
        <v>international-aviation</v>
      </c>
      <c r="C36" s="9"/>
      <c r="D36" s="9"/>
      <c r="E36" s="9"/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IFERROR(__xludf.DUMMYFUNCTION("""COMPUTED_VALUE"""),"international-shipping")</f>
        <v>international-shipping</v>
      </c>
      <c r="C37" s="9"/>
      <c r="D37" s="9"/>
      <c r="E37" s="9"/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IFERROR(__xludf.DUMMYFUNCTION("""COMPUTED_VALUE"""),"domestic-shipping")</f>
        <v>domestic-shipping</v>
      </c>
      <c r="C38" s="9"/>
      <c r="D38" s="9"/>
      <c r="E38" s="9"/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IFERROR(__xludf.DUMMYFUNCTION("""COMPUTED_VALUE"""),"coal-mining")</f>
        <v>coal-mining</v>
      </c>
      <c r="C39" s="9"/>
      <c r="D39" s="9"/>
      <c r="E39" s="9"/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IFERROR(__xludf.DUMMYFUNCTION("""COMPUTED_VALUE"""),"oil-and-gas-production-and-transport")</f>
        <v>oil-and-gas-production-and-transport</v>
      </c>
      <c r="C40" s="9"/>
      <c r="D40" s="9"/>
      <c r="E40" s="9"/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IFERROR(__xludf.DUMMYFUNCTION("""COMPUTED_VALUE"""),"oil-and-gas-refining")</f>
        <v>oil-and-gas-refining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IFERROR(__xludf.DUMMYFUNCTION("""COMPUTED_VALUE"""),"petrochemicals")</f>
        <v>petrochemicals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IFERROR(__xludf.DUMMYFUNCTION("""COMPUTED_VALUE"""),"cement")</f>
        <v>cement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IFERROR(__xludf.DUMMYFUNCTION("""COMPUTED_VALUE"""),"chemicals")</f>
        <v>chemicals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IFERROR(__xludf.DUMMYFUNCTION("""COMPUTED_VALUE"""),"steel")</f>
        <v>steel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IFERROR(__xludf.DUMMYFUNCTION("""COMPUTED_VALUE"""),"aluminum")</f>
        <v>aluminum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IFERROR(__xludf.DUMMYFUNCTION("""COMPUTED_VALUE"""),"pulp-and-paper")</f>
        <v>pulp-and-paper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IFERROR(__xludf.DUMMYFUNCTION("""COMPUTED_VALUE"""),"mining-and-quarrying")</f>
        <v>mining-and-quarrying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IFERROR(__xludf.DUMMYFUNCTION("""COMPUTED_VALUE"""),"enteric-fermentation")</f>
        <v>enteric-fermentation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IFERROR(__xludf.DUMMYFUNCTION("""COMPUTED_VALUE"""),"manure-management")</f>
        <v>manure-management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IFERROR(__xludf.DUMMYFUNCTION("""COMPUTED_VALUE"""),"rice-cultivation")</f>
        <v>rice-cultivation</v>
      </c>
      <c r="C51" s="9" t="str">
        <f>IFERROR(__xludf.DUMMYFUNCTION("""COMPUTED_VALUE"""),"faostat")</f>
        <v>faostat</v>
      </c>
      <c r="D51" s="9" t="str">
        <f>IFERROR(__xludf.DUMMYFUNCTION("""COMPUTED_VALUE"""),"Rice Cultivation")</f>
        <v>Rice Cultivation</v>
      </c>
      <c r="E51" s="9">
        <f>IFERROR(__xludf.DUMMYFUNCTION("""COMPUTED_VALUE"""),1.0)</f>
        <v>1</v>
      </c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IFERROR(__xludf.DUMMYFUNCTION("""COMPUTED_VALUE"""),"synthetic-fertilizer-application")</f>
        <v>synthetic-fertilizer-application</v>
      </c>
      <c r="C52" s="9" t="str">
        <f>IFERROR(__xludf.DUMMYFUNCTION("""COMPUTED_VALUE"""),"faostat")</f>
        <v>faostat</v>
      </c>
      <c r="D52" s="9" t="str">
        <f>IFERROR(__xludf.DUMMYFUNCTION("""COMPUTED_VALUE"""),"Synthetic Fertilizers")</f>
        <v>Synthetic Fertilizers</v>
      </c>
      <c r="E52" s="9">
        <f>IFERROR(__xludf.DUMMYFUNCTION("""COMPUTED_VALUE"""),1.0)</f>
        <v>1</v>
      </c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IFERROR(__xludf.DUMMYFUNCTION("""COMPUTED_VALUE"""),"forest-land-fires")</f>
        <v>forest-land-fires</v>
      </c>
      <c r="C53" s="9" t="str">
        <f>IFERROR(__xludf.DUMMYFUNCTION("""COMPUTED_VALUE"""),"faostat")</f>
        <v>faostat</v>
      </c>
      <c r="D53" s="9" t="str">
        <f>IFERROR(__xludf.DUMMYFUNCTION("""COMPUTED_VALUE"""),"Forest fires")</f>
        <v>Forest fires</v>
      </c>
      <c r="E53" s="9">
        <f>IFERROR(__xludf.DUMMYFUNCTION("""COMPUTED_VALUE"""),1.0)</f>
        <v>1</v>
      </c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IFERROR(__xludf.DUMMYFUNCTION("""COMPUTED_VALUE"""),"forest-land-clearing")</f>
        <v>forest-land-clearing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IFERROR(__xludf.DUMMYFUNCTION("""COMPUTED_VALUE"""),"forest-land-degradation")</f>
        <v>forest-land-degradation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IFERROR(__xludf.DUMMYFUNCTION("""COMPUTED_VALUE"""),"net-forest-land")</f>
        <v>net-forest-land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IFERROR(__xludf.DUMMYFUNCTION("""COMPUTED_VALUE"""),"net-shrubgrass")</f>
        <v>net-shrubgrass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IFERROR(__xludf.DUMMYFUNCTION("""COMPUTED_VALUE"""),"net-wetland")</f>
        <v>net-wetland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IFERROR(__xludf.DUMMYFUNCTION("""COMPUTED_VALUE"""),"shrubgrass-fires")</f>
        <v>shrubgrass-fires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IFERROR(__xludf.DUMMYFUNCTION("""COMPUTED_VALUE"""),"wetland-fires")</f>
        <v>wetland-fires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IFERROR(__xludf.DUMMYFUNCTION("""COMPUTED_VALUE"""),"removals")</f>
        <v>removals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IFERROR(__xludf.DUMMYFUNCTION("""COMPUTED_VALUE"""),"water-reservoirs")</f>
        <v>water-reservoirs</v>
      </c>
      <c r="C62" s="9"/>
      <c r="D62" s="9"/>
      <c r="E62" s="9"/>
      <c r="F62" s="9"/>
      <c r="G62" s="9"/>
      <c r="H62" s="9"/>
      <c r="I62" s="9"/>
      <c r="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